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740" firstSheet="0" activeTab="2" autoFilterDateGrouping="1"/>
  </bookViews>
  <sheets>
    <sheet xmlns:r="http://schemas.openxmlformats.org/officeDocument/2006/relationships" name="Instruktioner osv" sheetId="1" state="visible" r:id="rId1"/>
    <sheet xmlns:r="http://schemas.openxmlformats.org/officeDocument/2006/relationships" name="Sammanfattning" sheetId="2" state="visible" r:id="rId2"/>
    <sheet xmlns:r="http://schemas.openxmlformats.org/officeDocument/2006/relationships" name="Basterminer" sheetId="3" state="visible" r:id="rId3"/>
    <sheet xmlns:r="http://schemas.openxmlformats.org/officeDocument/2006/relationships" name="Profilkurser" sheetId="4" state="visible" r:id="rId4"/>
    <sheet xmlns:r="http://schemas.openxmlformats.org/officeDocument/2006/relationships" name="Övriga kurser" sheetId="5" state="visible" r:id="rId5"/>
    <sheet xmlns:r="http://schemas.openxmlformats.org/officeDocument/2006/relationships" name="Patch notes" sheetId="6" state="visible" r:id="rId6"/>
    <sheet xmlns:r="http://schemas.openxmlformats.org/officeDocument/2006/relationships" name="Random code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i val="1"/>
      <color theme="1"/>
      <sz val="8"/>
      <scheme val="minor"/>
    </font>
    <font>
      <name val="Calibri"/>
      <family val="2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4" fillId="0" borderId="0"/>
  </cellStyleXfs>
  <cellXfs count="85"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 vertical="top"/>
    </xf>
    <xf numFmtId="0" fontId="0" fillId="0" borderId="0" applyAlignment="1" pivotButton="0" quotePrefix="0" xfId="0">
      <alignment vertical="top"/>
    </xf>
    <xf numFmtId="0" fontId="0" fillId="0" borderId="0" pivotButton="0" quotePrefix="0" xfId="0"/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7" fillId="0" borderId="3" applyAlignment="1" pivotButton="0" quotePrefix="0" xfId="0">
      <alignment vertical="center"/>
    </xf>
    <xf numFmtId="0" fontId="3" fillId="0" borderId="3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0" fillId="0" borderId="0" pivotButton="0" quotePrefix="0" xfId="0"/>
    <xf numFmtId="0" fontId="0" fillId="0" borderId="4" applyAlignment="1" pivotButton="0" quotePrefix="0" xfId="0">
      <alignment horizontal="left"/>
    </xf>
    <xf numFmtId="0" fontId="0" fillId="0" borderId="7" applyAlignment="1" pivotButton="0" quotePrefix="0" xfId="0">
      <alignment horizontal="left"/>
    </xf>
    <xf numFmtId="0" fontId="0" fillId="0" borderId="8" applyAlignment="1" pivotButton="0" quotePrefix="0" xfId="0">
      <alignment horizontal="left"/>
    </xf>
    <xf numFmtId="0" fontId="0" fillId="0" borderId="9" applyAlignment="1" pivotButton="0" quotePrefix="0" xfId="0">
      <alignment horizontal="left"/>
    </xf>
    <xf numFmtId="0" fontId="3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top"/>
    </xf>
    <xf numFmtId="0" fontId="0" fillId="0" borderId="0" pivotButton="0" quotePrefix="0" xfId="0"/>
    <xf numFmtId="0" fontId="0" fillId="4" borderId="0" pivotButton="0" quotePrefix="0" xfId="0"/>
    <xf numFmtId="0" fontId="0" fillId="4" borderId="1" applyAlignment="1" pivotButton="0" quotePrefix="0" xfId="0">
      <alignment horizontal="right"/>
    </xf>
    <xf numFmtId="0" fontId="0" fillId="2" borderId="1" pivotButton="0" quotePrefix="0" xfId="0"/>
    <xf numFmtId="0" fontId="6" fillId="0" borderId="0" pivotButton="0" quotePrefix="0" xfId="0"/>
    <xf numFmtId="0" fontId="1" fillId="4" borderId="0" pivotButton="0" quotePrefix="0" xfId="0"/>
    <xf numFmtId="0" fontId="1" fillId="4" borderId="0" pivotButton="0" quotePrefix="0" xfId="0"/>
    <xf numFmtId="0" fontId="0" fillId="4" borderId="0" applyAlignment="1" pivotButton="0" quotePrefix="0" xfId="0">
      <alignment horizontal="center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5" fillId="4" borderId="0" applyAlignment="1" pivotButton="0" quotePrefix="0" xfId="0">
      <alignment vertical="center"/>
    </xf>
    <xf numFmtId="0" fontId="1" fillId="0" borderId="3" applyAlignment="1" pivotButton="0" quotePrefix="0" xfId="0">
      <alignment horizontal="left"/>
    </xf>
    <xf numFmtId="0" fontId="1" fillId="0" borderId="10" applyAlignment="1" pivotButton="0" quotePrefix="0" xfId="0">
      <alignment horizontal="left"/>
    </xf>
    <xf numFmtId="0" fontId="3" fillId="3" borderId="1" pivotButton="0" quotePrefix="0" xfId="0"/>
    <xf numFmtId="0" fontId="0" fillId="0" borderId="9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7" fillId="0" borderId="0" applyAlignment="1" pivotButton="0" quotePrefix="0" xfId="0">
      <alignment vertical="center"/>
    </xf>
    <xf numFmtId="0" fontId="0" fillId="0" borderId="4" applyAlignment="1" pivotButton="0" quotePrefix="0" xfId="0">
      <alignment horizontal="center"/>
    </xf>
    <xf numFmtId="0" fontId="0" fillId="0" borderId="4" pivotButton="0" quotePrefix="0" xfId="0"/>
    <xf numFmtId="0" fontId="5" fillId="0" borderId="4" applyAlignment="1" pivotButton="0" quotePrefix="0" xfId="0">
      <alignment vertical="center"/>
    </xf>
    <xf numFmtId="0" fontId="5" fillId="0" borderId="7" applyAlignment="1" pivotButton="0" quotePrefix="0" xfId="0">
      <alignment vertical="center"/>
    </xf>
    <xf numFmtId="0" fontId="0" fillId="0" borderId="3" applyAlignment="1" pivotButton="0" quotePrefix="0" xfId="0">
      <alignment horizontal="center" vertical="center"/>
    </xf>
    <xf numFmtId="0" fontId="7" fillId="0" borderId="3" applyAlignment="1" pivotButton="0" quotePrefix="0" xfId="0">
      <alignment horizontal="left" vertical="top"/>
    </xf>
    <xf numFmtId="0" fontId="7" fillId="0" borderId="10" applyAlignment="1" pivotButton="0" quotePrefix="0" xfId="0">
      <alignment horizontal="left" vertical="top"/>
    </xf>
    <xf numFmtId="0" fontId="5" fillId="0" borderId="0" applyAlignment="1" pivotButton="0" quotePrefix="0" xfId="0">
      <alignment horizontal="left" vertical="center" wrapText="1"/>
    </xf>
    <xf numFmtId="0" fontId="8" fillId="0" borderId="3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7" fillId="0" borderId="8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3" fillId="3" borderId="1" pivotButton="0" quotePrefix="0" xfId="0"/>
    <xf numFmtId="0" fontId="3" fillId="3" borderId="8" applyAlignment="1" pivotButton="0" quotePrefix="0" xfId="0">
      <alignment vertical="top"/>
    </xf>
    <xf numFmtId="0" fontId="3" fillId="3" borderId="7" applyAlignment="1" pivotButton="0" quotePrefix="0" xfId="0">
      <alignment vertical="top"/>
    </xf>
    <xf numFmtId="0" fontId="3" fillId="3" borderId="9" applyAlignment="1" pivotButton="0" quotePrefix="0" xfId="0">
      <alignment vertical="top"/>
    </xf>
    <xf numFmtId="0" fontId="3" fillId="3" borderId="10" applyAlignment="1" pivotButton="0" quotePrefix="0" xfId="0">
      <alignment vertical="top"/>
    </xf>
    <xf numFmtId="14" fontId="3" fillId="3" borderId="1" pivotButton="0" quotePrefix="0" xfId="0"/>
    <xf numFmtId="0" fontId="4" fillId="3" borderId="1" pivotButton="0" quotePrefix="0" xfId="1"/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2" pivotButton="0" quotePrefix="0" xfId="0"/>
    <xf numFmtId="0" fontId="3" fillId="3" borderId="1" applyAlignment="1" pivotButton="0" quotePrefix="0" xfId="0">
      <alignment vertical="top"/>
    </xf>
    <xf numFmtId="0" fontId="0" fillId="0" borderId="7" pivotButton="0" quotePrefix="0" xfId="0"/>
    <xf numFmtId="0" fontId="0" fillId="0" borderId="9" pivotButton="0" quotePrefix="0" xfId="0"/>
    <xf numFmtId="0" fontId="0" fillId="0" borderId="10" pivotButton="0" quotePrefix="0" xfId="0"/>
    <xf numFmtId="0" fontId="7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7" fillId="0" borderId="13" applyAlignment="1" pivotButton="0" quotePrefix="0" xfId="0">
      <alignment horizontal="center" vertical="center"/>
    </xf>
  </cellXfs>
  <cellStyles count="2">
    <cellStyle name="Normal" xfId="0" builtinId="0"/>
    <cellStyle name="Hyperlink" xfId="1" builtinId="8"/>
  </cellStyle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3:M52"/>
  <sheetViews>
    <sheetView topLeftCell="A6" zoomScaleNormal="100" workbookViewId="0">
      <selection activeCell="L49" sqref="L49"/>
    </sheetView>
  </sheetViews>
  <sheetFormatPr baseColWidth="8" defaultColWidth="8.85546875" defaultRowHeight="15"/>
  <cols>
    <col width="15.7109375" bestFit="1" customWidth="1" style="44" min="1" max="1"/>
    <col width="11.85546875" bestFit="1" customWidth="1" style="44" min="2" max="2"/>
  </cols>
  <sheetData>
    <row r="3">
      <c r="A3" t="inlineStr">
        <is>
          <t>Instruktioner osv</t>
        </is>
      </c>
    </row>
    <row r="6">
      <c r="A6" t="inlineStr">
        <is>
          <t>Hej! Kul att du ville vara här, för att fylla i denna går du till fliken som kursen ligger i, markera cellen för att fylla den med ett " x "  och godkäntdatum för kurserna för att sedan gå till sammanfattning och klicka generera sammanfattning</t>
        </is>
      </c>
    </row>
    <row r="10">
      <c r="A10" t="inlineStr">
        <is>
          <t xml:space="preserve">Till er som började före år </t>
        </is>
      </c>
    </row>
    <row r="13">
      <c r="A13" t="inlineStr">
        <is>
          <t>Till er som började efter år</t>
        </is>
      </c>
    </row>
    <row r="16">
      <c r="A16" t="inlineStr">
        <is>
          <t>2 typer av kommentarer, från ispn och från studenter</t>
        </is>
      </c>
    </row>
    <row r="18">
      <c r="A18" t="inlineStr">
        <is>
          <t>popupruta för kommentar från isp ?</t>
        </is>
      </c>
    </row>
    <row r="20">
      <c r="A20" t="inlineStr">
        <is>
          <t>ruta med villkor</t>
        </is>
      </c>
    </row>
    <row r="28">
      <c r="A28" s="10" t="inlineStr">
        <is>
          <t>Kolumnförklaring:</t>
        </is>
      </c>
      <c r="B28" s="11" t="n"/>
      <c r="C28" s="11" t="n"/>
      <c r="D28" s="11" t="n"/>
      <c r="E28" s="11" t="n"/>
      <c r="F28" s="11" t="n"/>
      <c r="G28" s="11" t="n"/>
      <c r="H28" s="11" t="n"/>
      <c r="I28" s="11" t="n"/>
      <c r="J28" s="11" t="n"/>
      <c r="K28" s="11" t="n"/>
      <c r="L28" s="11" t="n"/>
      <c r="M28" s="11" t="n"/>
    </row>
    <row r="29">
      <c r="A29" s="12" t="inlineStr">
        <is>
          <t>Datum</t>
        </is>
      </c>
      <c r="B29" s="13" t="inlineStr">
        <is>
          <t>1.</t>
        </is>
      </c>
      <c r="C29" s="56" t="inlineStr">
        <is>
          <t>Datum för godkänt på kursen. Måste anges på formatet åååå-mm-dd.</t>
        </is>
      </c>
      <c r="D29" s="47" t="n"/>
      <c r="E29" s="47" t="n"/>
      <c r="F29" s="47" t="n"/>
      <c r="G29" s="47" t="n"/>
      <c r="H29" s="47" t="n"/>
      <c r="I29" s="47" t="n"/>
      <c r="J29" s="47" t="n"/>
      <c r="K29" s="47" t="n"/>
      <c r="L29" s="47" t="n"/>
      <c r="M29" s="47" t="n"/>
    </row>
    <row r="30">
      <c r="A30" s="12" t="inlineStr">
        <is>
          <t>Kurskod</t>
        </is>
      </c>
      <c r="B30" s="13" t="inlineStr">
        <is>
          <t>2.</t>
        </is>
      </c>
      <c r="C30" s="55" t="inlineStr">
        <is>
          <t>Kurskod.</t>
        </is>
      </c>
    </row>
    <row r="31">
      <c r="A31" s="12" t="inlineStr">
        <is>
          <t>Kursnamn</t>
        </is>
      </c>
      <c r="B31" s="13" t="inlineStr">
        <is>
          <t>3.</t>
        </is>
      </c>
      <c r="C31" s="55" t="inlineStr">
        <is>
          <t>Kursens namn.</t>
        </is>
      </c>
    </row>
    <row r="32">
      <c r="A32" s="12" t="inlineStr">
        <is>
          <t>Hp</t>
        </is>
      </c>
      <c r="B32" s="13" t="inlineStr">
        <is>
          <t>4.</t>
        </is>
      </c>
      <c r="C32" s="55" t="inlineStr">
        <is>
          <t>Kursen totala hp.</t>
        </is>
      </c>
    </row>
    <row r="33">
      <c r="A33" s="12" t="n"/>
      <c r="B33" s="13" t="inlineStr">
        <is>
          <t>5.-8.</t>
        </is>
      </c>
      <c r="C33" s="53" t="inlineStr">
        <is>
          <t>Antal hp av kursens totala hp som återfinns i kategorierna 4-7 nedan - se utbildningsplan!</t>
        </is>
      </c>
    </row>
    <row r="34">
      <c r="A34" s="12" t="inlineStr">
        <is>
          <t>PL</t>
        </is>
      </c>
      <c r="B34" s="55" t="inlineStr">
        <is>
          <t>5.</t>
        </is>
      </c>
      <c r="C34" s="55" t="inlineStr">
        <is>
          <t>Hp projektledning (minst 7,5hp i examen) (notera att projektledning och projektarbete inte är samma sak).</t>
        </is>
      </c>
    </row>
    <row r="35">
      <c r="A35" s="12" t="inlineStr">
        <is>
          <t>Pa</t>
        </is>
      </c>
      <c r="B35" s="55" t="inlineStr">
        <is>
          <t>6.</t>
        </is>
      </c>
      <c r="C35" s="55" t="inlineStr">
        <is>
          <t xml:space="preserve">Hp projektarbete, fyll i 6.1-6.4. </t>
        </is>
      </c>
      <c r="D35" s="55" t="n"/>
      <c r="E35" s="55" t="n"/>
      <c r="F35" s="55" t="n"/>
      <c r="G35" s="55" t="n"/>
      <c r="H35" s="55" t="n"/>
      <c r="I35" s="55" t="n"/>
      <c r="J35" s="55" t="n"/>
      <c r="K35" s="55" t="n"/>
      <c r="L35" s="55" t="n"/>
      <c r="M35" s="55" t="n"/>
    </row>
    <row r="36">
      <c r="A36" s="12" t="inlineStr">
        <is>
          <t>PaN</t>
        </is>
      </c>
      <c r="B36" s="13" t="inlineStr">
        <is>
          <t>6.1</t>
        </is>
      </c>
      <c r="C36" s="55" t="inlineStr">
        <is>
          <t>Hp projektarbete mot näringsliv/samhälle (minst 7,5hp i examen).</t>
        </is>
      </c>
    </row>
    <row r="37">
      <c r="A37" s="12" t="inlineStr">
        <is>
          <t>PaSam</t>
        </is>
      </c>
      <c r="B37" s="13" t="inlineStr">
        <is>
          <t>6.2</t>
        </is>
      </c>
      <c r="C37" s="55" t="inlineStr">
        <is>
          <t>Hp sammanhängande projektarbete genomfört i större projektgrupp (minst 7,5hp långa). (*)</t>
        </is>
      </c>
    </row>
    <row r="38">
      <c r="A38" s="12" t="inlineStr">
        <is>
          <t>PaStor</t>
        </is>
      </c>
      <c r="B38" s="13" t="inlineStr">
        <is>
          <t>6.3</t>
        </is>
      </c>
      <c r="C38" s="55" t="inlineStr">
        <is>
          <t>Hp  projektarbete genomfört i större projektgrupp. (*)</t>
        </is>
      </c>
    </row>
    <row r="39">
      <c r="A39" s="12" t="inlineStr">
        <is>
          <t>PaTot</t>
        </is>
      </c>
      <c r="B39" s="13" t="inlineStr">
        <is>
          <t>6.4</t>
        </is>
      </c>
      <c r="C39" s="55" t="inlineStr">
        <is>
          <t>Totala hp projektarbete (minst 15hp i examen). Det är tillåtet att kurs samtidigt uppfyller ett/flera krav inom 6.1-6.3. (*)</t>
        </is>
      </c>
    </row>
    <row r="40">
      <c r="A40" s="12" t="inlineStr">
        <is>
          <t>Hut</t>
        </is>
      </c>
      <c r="B40" s="13" t="inlineStr">
        <is>
          <t>7.</t>
        </is>
      </c>
      <c r="C40" s="55" t="inlineStr">
        <is>
          <t>Hp hållbar utveckling (minst 7,5hp i examen).</t>
        </is>
      </c>
    </row>
    <row r="41">
      <c r="A41" s="12" t="inlineStr">
        <is>
          <t>Data</t>
        </is>
      </c>
      <c r="B41" s="13" t="inlineStr">
        <is>
          <t>8.</t>
        </is>
      </c>
      <c r="C41" s="55" t="inlineStr">
        <is>
          <t>Hp datavetenskap (minst 12hp i examen). Gäller enbart kategori ma-ber-verktyg.</t>
        </is>
      </c>
    </row>
    <row r="42">
      <c r="A42" s="12" t="inlineStr">
        <is>
          <t>Avn</t>
        </is>
      </c>
      <c r="B42" s="13" t="inlineStr">
        <is>
          <t>9.</t>
        </is>
      </c>
      <c r="C42" s="55" t="inlineStr">
        <is>
          <t>Hp kurser på avancerad nivå</t>
        </is>
      </c>
      <c r="D42" s="55" t="n"/>
      <c r="E42" s="55" t="n"/>
      <c r="F42" s="55" t="n"/>
      <c r="G42" s="55" t="n"/>
      <c r="H42" s="55" t="n"/>
      <c r="I42" s="55" t="n"/>
      <c r="J42" s="55" t="n"/>
      <c r="K42" s="55" t="n"/>
      <c r="L42" s="55" t="n"/>
      <c r="M42" s="55" t="n"/>
    </row>
    <row r="43">
      <c r="A43" s="12" t="inlineStr">
        <is>
          <t>Kommentarer</t>
        </is>
      </c>
      <c r="B43" s="13" t="inlineStr">
        <is>
          <t>10.</t>
        </is>
      </c>
      <c r="C43" s="53" t="inlineStr">
        <is>
          <t>Ev. kommentarer, t.ex. gällande ej avklarade kurser (omtentor, restlabbar) eller kurser som avses läsas eller som har/ska tillgodoräknas.</t>
        </is>
      </c>
    </row>
    <row r="44" ht="40.5" customHeight="1" s="44">
      <c r="A44" s="54" t="inlineStr">
        <is>
          <t>(*) Förtydligande:
- Studenter som antagits på programmat innan ht 2011 får använda lägre krav: Minst 7,5 hp projektarbete i grupp om minst 3 personer (samt inget krav om sammanhängande projekt). 
- Studenter som antagits f.o.m. ht 2011 måste följa kravet: Alla projektkurspoäng i stor grupp (minst 4 personer) samt minst 7,5 hp sammanhängande projekt.</t>
        </is>
      </c>
      <c r="B44" s="76" t="n"/>
      <c r="C44" s="76" t="n"/>
      <c r="D44" s="76" t="n"/>
      <c r="E44" s="76" t="n"/>
      <c r="F44" s="76" t="n"/>
      <c r="G44" s="76" t="n"/>
      <c r="H44" s="76" t="n"/>
      <c r="I44" s="76" t="n"/>
      <c r="J44" s="76" t="n"/>
      <c r="K44" s="76" t="n"/>
      <c r="L44" s="76" t="n"/>
      <c r="M44" s="76" t="n"/>
    </row>
    <row r="48">
      <c r="A48" t="inlineStr">
        <is>
          <t>kanske inte obligatoriska kurser</t>
        </is>
      </c>
    </row>
    <row r="50">
      <c r="A50" t="inlineStr">
        <is>
          <t>Viktigt att få ut information</t>
        </is>
      </c>
    </row>
    <row r="52">
      <c r="A52" t="inlineStr">
        <is>
          <t>gå in och läs på hemsidan vad som gäller, tekniskfysik.se/examensarbete</t>
        </is>
      </c>
    </row>
  </sheetData>
  <mergeCells count="14">
    <mergeCell ref="C29:M29"/>
    <mergeCell ref="C30:M30"/>
    <mergeCell ref="C31:M31"/>
    <mergeCell ref="C32:M32"/>
    <mergeCell ref="C33:M33"/>
    <mergeCell ref="C43:M43"/>
    <mergeCell ref="A44:M44"/>
    <mergeCell ref="C34:M34"/>
    <mergeCell ref="C36:M36"/>
    <mergeCell ref="C37:M37"/>
    <mergeCell ref="C38:M38"/>
    <mergeCell ref="C39:M39"/>
    <mergeCell ref="C40:M40"/>
    <mergeCell ref="C41:M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Blad2">
    <outlinePr summaryBelow="1" summaryRight="1"/>
    <pageSetUpPr/>
  </sheetPr>
  <dimension ref="A1:AC205"/>
  <sheetViews>
    <sheetView zoomScale="89" zoomScaleNormal="115" workbookViewId="0">
      <selection activeCell="E4" sqref="E4"/>
    </sheetView>
  </sheetViews>
  <sheetFormatPr baseColWidth="8" defaultColWidth="8.85546875" defaultRowHeight="15"/>
  <cols>
    <col width="9.28515625" bestFit="1" customWidth="1" style="43" min="1" max="1"/>
    <col width="46.7109375" bestFit="1" customWidth="1" style="44" min="2" max="2"/>
    <col width="19" customWidth="1" style="44" min="3" max="3"/>
    <col width="31.140625" customWidth="1" style="43" min="4" max="4"/>
    <col width="23.42578125" bestFit="1" customWidth="1" style="44" min="5" max="5"/>
    <col width="5.42578125" bestFit="1" customWidth="1" style="44" min="6" max="6"/>
    <col width="10.7109375" bestFit="1" customWidth="1" style="44" min="7" max="7"/>
    <col width="20.42578125" bestFit="1" customWidth="1" style="44" min="8" max="8"/>
    <col width="10.85546875" bestFit="1" customWidth="1" style="44" min="9" max="9"/>
    <col width="14.7109375" bestFit="1" customWidth="1" style="44" min="10" max="10"/>
    <col width="8.42578125" bestFit="1" customWidth="1" style="44" min="11" max="11"/>
  </cols>
  <sheetData>
    <row r="1" ht="15.75" customHeight="1" s="44">
      <c r="B1" s="4" t="inlineStr">
        <is>
          <t>Datum:</t>
        </is>
      </c>
      <c r="C1" s="68" t="n"/>
      <c r="D1" s="77" t="n"/>
      <c r="H1" s="32" t="inlineStr">
        <is>
          <t>Sammanfattning</t>
        </is>
      </c>
    </row>
    <row r="2">
      <c r="B2" s="4" t="inlineStr">
        <is>
          <t>Namn:</t>
        </is>
      </c>
      <c r="C2" s="63" t="n"/>
      <c r="D2" s="77" t="n"/>
      <c r="H2" s="30" t="inlineStr">
        <is>
          <t>Kategori</t>
        </is>
      </c>
      <c r="I2" s="30" t="inlineStr">
        <is>
          <t>Min. krav hp</t>
        </is>
      </c>
      <c r="J2" s="30" t="inlineStr">
        <is>
          <t>Dina poäng , hp</t>
        </is>
      </c>
    </row>
    <row r="3">
      <c r="B3" s="4" t="inlineStr">
        <is>
          <t>Personnummer:</t>
        </is>
      </c>
      <c r="C3" s="63" t="n"/>
      <c r="D3" s="77" t="n"/>
      <c r="H3" s="30" t="inlineStr">
        <is>
          <t>Total poäng:</t>
        </is>
      </c>
      <c r="I3" s="30" t="n">
        <v>300</v>
      </c>
      <c r="J3" s="31" t="n">
        <v>0</v>
      </c>
    </row>
    <row r="4">
      <c r="B4" s="4" t="inlineStr">
        <is>
          <t>Telefon:</t>
        </is>
      </c>
      <c r="C4" s="69" t="n"/>
      <c r="D4" s="77" t="n"/>
      <c r="H4" s="30" t="inlineStr">
        <is>
          <t>MaBer</t>
        </is>
      </c>
      <c r="I4" s="30" t="n">
        <v>67.5</v>
      </c>
      <c r="J4" s="31" t="n">
        <v>0</v>
      </c>
    </row>
    <row r="5">
      <c r="B5" s="4" t="inlineStr">
        <is>
          <t>E-post:</t>
        </is>
      </c>
      <c r="C5" s="63" t="n"/>
      <c r="D5" s="77" t="n"/>
      <c r="H5" s="30" t="inlineStr">
        <is>
          <t>StatMät</t>
        </is>
      </c>
      <c r="I5" s="30" t="n">
        <v>12</v>
      </c>
      <c r="J5" s="31" t="n">
        <v>0</v>
      </c>
    </row>
    <row r="6">
      <c r="B6" s="4" t="inlineStr">
        <is>
          <t>Började på TF (Termin, år och klass):</t>
        </is>
      </c>
      <c r="C6" s="63" t="inlineStr">
        <is>
          <t>HT18</t>
        </is>
      </c>
      <c r="D6" s="63" t="inlineStr">
        <is>
          <t>F16</t>
        </is>
      </c>
      <c r="H6" s="30" t="inlineStr">
        <is>
          <t>FyT</t>
        </is>
      </c>
      <c r="I6" s="30" t="n">
        <v>60</v>
      </c>
      <c r="J6" s="31" t="n">
        <v>0</v>
      </c>
    </row>
    <row r="7">
      <c r="B7" s="5" t="inlineStr">
        <is>
          <t>Anledning till individuell studieplan:</t>
        </is>
      </c>
      <c r="C7" s="78" t="inlineStr">
        <is>
          <t>Välj ett alternativ. För annan anledning välj den tomma och fyll i.</t>
        </is>
      </c>
      <c r="D7" s="79" t="n"/>
      <c r="H7" s="30" t="inlineStr">
        <is>
          <t>Aing</t>
        </is>
      </c>
      <c r="I7" s="30" t="n">
        <v>42.5</v>
      </c>
      <c r="J7" s="31" t="n">
        <v>0</v>
      </c>
    </row>
    <row r="8">
      <c r="C8" s="80" t="n"/>
      <c r="D8" s="81" t="n"/>
      <c r="H8" s="30" t="inlineStr">
        <is>
          <t>Prof</t>
        </is>
      </c>
      <c r="I8" s="30" t="n">
        <v>48</v>
      </c>
      <c r="J8" s="31" t="n">
        <v>0</v>
      </c>
    </row>
    <row r="9">
      <c r="C9" s="27" t="n"/>
      <c r="D9" s="27" t="n"/>
      <c r="H9" s="30" t="inlineStr">
        <is>
          <t>PL</t>
        </is>
      </c>
      <c r="I9" s="30" t="n">
        <v>7.5</v>
      </c>
      <c r="J9" s="31" t="n">
        <v>0</v>
      </c>
    </row>
    <row r="10">
      <c r="A10" s="43" t="n"/>
      <c r="C10" s="27" t="n"/>
      <c r="D10" s="27" t="n"/>
      <c r="H10" s="30" t="inlineStr">
        <is>
          <t>PaN</t>
        </is>
      </c>
      <c r="I10" s="30" t="n">
        <v>15</v>
      </c>
      <c r="J10" s="31" t="n">
        <v>0</v>
      </c>
    </row>
    <row r="11">
      <c r="A11" s="43" t="n"/>
      <c r="H11" s="30" t="inlineStr">
        <is>
          <t>PaSam</t>
        </is>
      </c>
      <c r="I11" s="30" t="n"/>
      <c r="J11" s="31" t="n">
        <v>0</v>
      </c>
    </row>
    <row r="12" s="44">
      <c r="A12" s="43" t="n"/>
      <c r="H12" s="30" t="inlineStr">
        <is>
          <t>PaStor</t>
        </is>
      </c>
      <c r="I12" s="30" t="n"/>
      <c r="J12" s="31" t="n">
        <v>0</v>
      </c>
    </row>
    <row r="13" s="44">
      <c r="A13" s="43" t="n"/>
      <c r="H13" s="30" t="inlineStr">
        <is>
          <t>PaTot</t>
        </is>
      </c>
      <c r="I13" s="30" t="n"/>
      <c r="J13" s="31" t="n">
        <v>0</v>
      </c>
    </row>
    <row r="14">
      <c r="A14" s="43" t="n"/>
      <c r="H14" s="30" t="inlineStr">
        <is>
          <t>Hut</t>
        </is>
      </c>
      <c r="I14" s="30" t="n"/>
      <c r="J14" s="31" t="n">
        <v>0</v>
      </c>
    </row>
    <row r="15" s="44">
      <c r="A15" s="43" t="n"/>
      <c r="H15" s="30" t="inlineStr">
        <is>
          <t>Data</t>
        </is>
      </c>
      <c r="I15" s="30" t="n"/>
      <c r="J15" s="31" t="n">
        <v>0</v>
      </c>
    </row>
    <row r="16" s="44">
      <c r="A16" s="43" t="n"/>
      <c r="H16" s="30" t="inlineStr">
        <is>
          <t>Avn</t>
        </is>
      </c>
      <c r="I16" s="30" t="n"/>
      <c r="J16" s="31" t="n">
        <v>0</v>
      </c>
    </row>
    <row r="17">
      <c r="A17" s="43" t="n"/>
      <c r="H17" s="30" t="inlineStr">
        <is>
          <t>Fria kurser</t>
        </is>
      </c>
      <c r="I17" s="30" t="inlineStr">
        <is>
          <t>30&gt;</t>
        </is>
      </c>
      <c r="J17" s="31" t="n">
        <v>0</v>
      </c>
    </row>
    <row r="18">
      <c r="A18" s="43" t="n"/>
    </row>
    <row r="19">
      <c r="A19" s="43" t="n"/>
      <c r="U19" s="45" t="n"/>
    </row>
    <row r="20">
      <c r="A20" s="43" t="n"/>
      <c r="F20" s="82" t="inlineStr">
        <is>
          <t>Högskolepoäng (hp)</t>
        </is>
      </c>
      <c r="G20" s="83" t="n"/>
      <c r="H20" s="83" t="n"/>
      <c r="I20" s="83" t="n"/>
      <c r="J20" s="83" t="n"/>
      <c r="K20" s="83" t="n"/>
      <c r="L20" s="83" t="n"/>
      <c r="M20" s="83" t="n"/>
      <c r="N20" s="83" t="n"/>
      <c r="O20" s="83" t="n"/>
      <c r="P20" s="83" t="n"/>
      <c r="Q20" s="83" t="n"/>
      <c r="R20" s="83" t="n"/>
      <c r="S20" s="77" t="n"/>
      <c r="T20" s="45" t="n"/>
      <c r="U20" s="45" t="n"/>
      <c r="V20" s="45" t="n"/>
      <c r="W20" s="45" t="n"/>
      <c r="X20" s="45" t="n"/>
      <c r="Y20" s="45" t="n"/>
      <c r="Z20" s="45" t="n"/>
      <c r="AA20" s="45" t="n"/>
      <c r="AB20" s="45" t="n"/>
    </row>
    <row r="21">
      <c r="A21" s="43" t="n"/>
      <c r="F21" s="45" t="n"/>
      <c r="G21" s="82" t="inlineStr">
        <is>
          <t>Varav (hp)…</t>
        </is>
      </c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77" t="n"/>
      <c r="T21" s="45" t="n"/>
      <c r="U21" s="45" t="n"/>
      <c r="V21" s="45" t="n"/>
      <c r="W21" s="45" t="n"/>
      <c r="X21" s="45" t="n"/>
      <c r="Y21" s="45" t="n"/>
      <c r="Z21" s="45" t="n"/>
      <c r="AA21" s="45" t="n"/>
      <c r="AB21" s="45" t="n"/>
    </row>
    <row r="22">
      <c r="A22" s="43" t="n"/>
      <c r="G22" s="84" t="inlineStr">
        <is>
          <t>Baskurser (hp)</t>
        </is>
      </c>
      <c r="H22" s="47" t="n"/>
      <c r="I22" s="79" t="n"/>
      <c r="J22" s="84" t="inlineStr">
        <is>
          <t>Övriga kurser</t>
        </is>
      </c>
      <c r="K22" s="79" t="n"/>
      <c r="L22" s="84" t="inlineStr">
        <is>
          <t>Övrikga krav</t>
        </is>
      </c>
      <c r="M22" s="47" t="n"/>
      <c r="N22" s="47" t="n"/>
      <c r="O22" s="47" t="n"/>
      <c r="P22" s="47" t="n"/>
      <c r="Q22" s="47" t="n"/>
      <c r="R22" s="47" t="n"/>
      <c r="S22" s="79" t="n"/>
      <c r="T22" s="45" t="n"/>
      <c r="U22" s="45" t="n"/>
      <c r="V22" s="45" t="n"/>
      <c r="W22" s="45" t="n"/>
      <c r="X22" s="45" t="n"/>
      <c r="Y22" s="45" t="n"/>
      <c r="Z22" s="45" t="n"/>
      <c r="AA22" s="45" t="n"/>
    </row>
    <row r="23">
      <c r="A23" s="46" t="inlineStr">
        <is>
          <t>1.</t>
        </is>
      </c>
      <c r="B23" s="47" t="inlineStr">
        <is>
          <t>2.</t>
        </is>
      </c>
      <c r="C23" s="47" t="inlineStr">
        <is>
          <t>3.</t>
        </is>
      </c>
      <c r="D23" s="47" t="inlineStr">
        <is>
          <t>4.</t>
        </is>
      </c>
      <c r="E23" s="47" t="inlineStr">
        <is>
          <t>5.</t>
        </is>
      </c>
      <c r="F23" s="48" t="inlineStr">
        <is>
          <t>6.</t>
        </is>
      </c>
      <c r="G23" s="48" t="inlineStr">
        <is>
          <t>7.</t>
        </is>
      </c>
      <c r="H23" s="48" t="inlineStr">
        <is>
          <t>8.</t>
        </is>
      </c>
      <c r="I23" s="48" t="inlineStr">
        <is>
          <t>9.</t>
        </is>
      </c>
      <c r="J23" s="48" t="inlineStr">
        <is>
          <t>10.</t>
        </is>
      </c>
      <c r="K23" s="48" t="inlineStr">
        <is>
          <t>11.</t>
        </is>
      </c>
      <c r="L23" s="48" t="inlineStr">
        <is>
          <t>12.</t>
        </is>
      </c>
      <c r="M23" s="48" t="inlineStr">
        <is>
          <t>12.1</t>
        </is>
      </c>
      <c r="N23" s="48" t="inlineStr">
        <is>
          <t>12.2</t>
        </is>
      </c>
      <c r="O23" s="48" t="inlineStr">
        <is>
          <t>12.3</t>
        </is>
      </c>
      <c r="P23" s="48" t="inlineStr">
        <is>
          <t>12.4</t>
        </is>
      </c>
      <c r="Q23" s="48" t="inlineStr">
        <is>
          <t>13.</t>
        </is>
      </c>
      <c r="R23" s="48" t="inlineStr">
        <is>
          <t>14.</t>
        </is>
      </c>
      <c r="S23" s="49" t="inlineStr">
        <is>
          <t>15.</t>
        </is>
      </c>
    </row>
    <row r="24">
      <c r="A24" s="50" t="inlineStr">
        <is>
          <t>checkbox</t>
        </is>
      </c>
      <c r="B24" s="51" t="inlineStr">
        <is>
          <t>Kursnamn</t>
        </is>
      </c>
      <c r="C24" s="51" t="inlineStr">
        <is>
          <t>Datum (ååååmmdd)</t>
        </is>
      </c>
      <c r="D24" s="51" t="inlineStr">
        <is>
          <t>Studentens kommentar</t>
        </is>
      </c>
      <c r="E24" s="51" t="inlineStr">
        <is>
          <t>Programledningens kommentar</t>
        </is>
      </c>
      <c r="F24" s="51" t="inlineStr">
        <is>
          <t>Hp</t>
        </is>
      </c>
      <c r="G24" s="51" t="inlineStr">
        <is>
          <t>MaBer (67,5)</t>
        </is>
      </c>
      <c r="H24" s="51" t="inlineStr">
        <is>
          <t>StatMät (12)</t>
        </is>
      </c>
      <c r="I24" s="51" t="inlineStr">
        <is>
          <t>FyT (60)</t>
        </is>
      </c>
      <c r="J24" s="51" t="inlineStr">
        <is>
          <t>Aing (42,5)</t>
        </is>
      </c>
      <c r="K24" s="51" t="inlineStr">
        <is>
          <t>Prof (48)</t>
        </is>
      </c>
      <c r="L24" s="51" t="inlineStr">
        <is>
          <t>PL (7,5)</t>
        </is>
      </c>
      <c r="M24" s="51" t="inlineStr">
        <is>
          <t>PaN (15)</t>
        </is>
      </c>
      <c r="N24" s="51" t="inlineStr">
        <is>
          <t>PaSam</t>
        </is>
      </c>
      <c r="O24" s="51" t="inlineStr">
        <is>
          <t>PaStor</t>
        </is>
      </c>
      <c r="P24" s="51" t="inlineStr">
        <is>
          <t>PaTot</t>
        </is>
      </c>
      <c r="Q24" s="51" t="inlineStr">
        <is>
          <t>Hut</t>
        </is>
      </c>
      <c r="R24" s="51" t="inlineStr">
        <is>
          <t>Data</t>
        </is>
      </c>
      <c r="S24" s="52" t="inlineStr">
        <is>
          <t>Avn</t>
        </is>
      </c>
    </row>
    <row r="25">
      <c r="K25" s="13" t="n"/>
      <c r="L25" s="13" t="n"/>
      <c r="M25" s="13" t="n"/>
      <c r="N25" s="13" t="n"/>
    </row>
    <row r="26">
      <c r="K26" s="13" t="n"/>
      <c r="L26" s="13" t="n"/>
      <c r="M26" s="13" t="n"/>
      <c r="N26" s="13" t="n"/>
    </row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</sheetData>
  <mergeCells count="11">
    <mergeCell ref="C5:D5"/>
    <mergeCell ref="C7:D8"/>
    <mergeCell ref="C1:D1"/>
    <mergeCell ref="C2:D2"/>
    <mergeCell ref="C3:D3"/>
    <mergeCell ref="C4:D4"/>
    <mergeCell ref="G22:I22"/>
    <mergeCell ref="J22:K22"/>
    <mergeCell ref="G21:S21"/>
    <mergeCell ref="L22:S22"/>
    <mergeCell ref="F20:S20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Blad6">
    <outlinePr summaryBelow="1" summaryRight="1"/>
    <pageSetUpPr/>
  </sheetPr>
  <dimension ref="A2:T26"/>
  <sheetViews>
    <sheetView tabSelected="1" zoomScale="85" zoomScaleNormal="85" workbookViewId="0">
      <selection activeCell="B27" sqref="B27"/>
    </sheetView>
  </sheetViews>
  <sheetFormatPr baseColWidth="8" defaultColWidth="8.85546875" defaultRowHeight="15"/>
  <cols>
    <col width="9.28515625" bestFit="1" customWidth="1" style="43" min="1" max="1"/>
    <col width="47.28515625" bestFit="1" customWidth="1" style="44" min="2" max="2"/>
    <col width="18.7109375" bestFit="1" customWidth="1" style="43" min="3" max="3"/>
    <col width="22.28515625" bestFit="1" customWidth="1" style="44" min="4" max="4"/>
    <col width="29.7109375" bestFit="1" customWidth="1" style="44" min="5" max="5"/>
    <col width="5" bestFit="1" customWidth="1" style="44" min="6" max="6"/>
    <col width="16.140625" bestFit="1" customWidth="1" style="44" min="7" max="7"/>
    <col width="18.85546875" bestFit="1" customWidth="1" style="44" min="8" max="8"/>
    <col width="12.7109375" bestFit="1" customWidth="1" style="44" min="9" max="9"/>
    <col width="11.42578125" bestFit="1" customWidth="1" style="44" min="10" max="10"/>
  </cols>
  <sheetData>
    <row r="2">
      <c r="F2" s="82">
        <f>Sammanfattning!F20</f>
        <v/>
      </c>
      <c r="G2" s="83" t="n"/>
      <c r="H2" s="83" t="n"/>
      <c r="I2" s="83" t="n"/>
      <c r="J2" s="83" t="n"/>
      <c r="K2" s="83" t="n"/>
      <c r="L2" s="83" t="n"/>
      <c r="M2" s="83" t="n"/>
      <c r="N2" s="83" t="n"/>
      <c r="O2" s="83" t="n"/>
      <c r="P2" s="83" t="n"/>
      <c r="Q2" s="83" t="n"/>
      <c r="R2" s="83" t="n"/>
      <c r="S2" s="77" t="n"/>
    </row>
    <row r="3">
      <c r="F3" s="45" t="n"/>
      <c r="G3" s="82">
        <f>Sammanfattning!G21</f>
        <v/>
      </c>
      <c r="H3" s="83" t="n"/>
      <c r="I3" s="83" t="n"/>
      <c r="J3" s="83" t="n"/>
      <c r="K3" s="83" t="n"/>
      <c r="L3" s="83" t="n"/>
      <c r="M3" s="83" t="n"/>
      <c r="N3" s="83" t="n"/>
      <c r="O3" s="83" t="n"/>
      <c r="P3" s="83" t="n"/>
      <c r="Q3" s="83" t="n"/>
      <c r="R3" s="83" t="n"/>
      <c r="S3" s="77" t="n"/>
    </row>
    <row r="4">
      <c r="G4" s="84">
        <f>Sammanfattning!G22</f>
        <v/>
      </c>
      <c r="H4" s="47" t="n"/>
      <c r="I4" s="79" t="n"/>
      <c r="J4" s="84">
        <f>Sammanfattning!J22</f>
        <v/>
      </c>
      <c r="K4" s="79" t="n"/>
      <c r="L4" s="84">
        <f>Sammanfattning!L22</f>
        <v/>
      </c>
      <c r="M4" s="47" t="n"/>
      <c r="N4" s="47" t="n"/>
      <c r="O4" s="47" t="n"/>
      <c r="P4" s="47" t="n"/>
      <c r="Q4" s="47" t="n"/>
      <c r="R4" s="47" t="n"/>
      <c r="S4" s="79" t="n"/>
    </row>
    <row r="5">
      <c r="A5" s="23">
        <f>Sammanfattning!A23</f>
        <v/>
      </c>
      <c r="B5" s="21">
        <f>Sammanfattning!B23</f>
        <v/>
      </c>
      <c r="C5" s="21">
        <f>Sammanfattning!C23</f>
        <v/>
      </c>
      <c r="D5" s="21">
        <f>Sammanfattning!D23</f>
        <v/>
      </c>
      <c r="E5" s="21">
        <f>Sammanfattning!E23</f>
        <v/>
      </c>
      <c r="F5" s="21">
        <f>Sammanfattning!F23</f>
        <v/>
      </c>
      <c r="G5" s="21">
        <f>Sammanfattning!G23</f>
        <v/>
      </c>
      <c r="H5" s="21">
        <f>Sammanfattning!H23</f>
        <v/>
      </c>
      <c r="I5" s="21">
        <f>Sammanfattning!I23</f>
        <v/>
      </c>
      <c r="J5" s="21">
        <f>Sammanfattning!J23</f>
        <v/>
      </c>
      <c r="K5" s="21">
        <f>Sammanfattning!K23</f>
        <v/>
      </c>
      <c r="L5" s="21">
        <f>Sammanfattning!L23</f>
        <v/>
      </c>
      <c r="M5" s="21">
        <f>Sammanfattning!M23</f>
        <v/>
      </c>
      <c r="N5" s="21">
        <f>Sammanfattning!N23</f>
        <v/>
      </c>
      <c r="O5" s="21">
        <f>Sammanfattning!O23</f>
        <v/>
      </c>
      <c r="P5" s="21">
        <f>Sammanfattning!P23</f>
        <v/>
      </c>
      <c r="Q5" s="21">
        <f>Sammanfattning!Q23</f>
        <v/>
      </c>
      <c r="R5" s="21">
        <f>Sammanfattning!R23</f>
        <v/>
      </c>
      <c r="S5" s="22">
        <f>Sammanfattning!S23</f>
        <v/>
      </c>
    </row>
    <row r="6">
      <c r="A6" s="24">
        <f>Sammanfattning!A24</f>
        <v/>
      </c>
      <c r="B6" s="39">
        <f>Sammanfattning!B24</f>
        <v/>
      </c>
      <c r="C6" s="39">
        <f>Sammanfattning!C24</f>
        <v/>
      </c>
      <c r="D6" s="39">
        <f>Sammanfattning!D24</f>
        <v/>
      </c>
      <c r="E6" s="39">
        <f>Sammanfattning!E24</f>
        <v/>
      </c>
      <c r="F6" s="39">
        <f>Sammanfattning!F24</f>
        <v/>
      </c>
      <c r="G6" s="39">
        <f>Sammanfattning!G24</f>
        <v/>
      </c>
      <c r="H6" s="39">
        <f>Sammanfattning!H24</f>
        <v/>
      </c>
      <c r="I6" s="39">
        <f>Sammanfattning!I24</f>
        <v/>
      </c>
      <c r="J6" s="39">
        <f>Sammanfattning!J24</f>
        <v/>
      </c>
      <c r="K6" s="39">
        <f>Sammanfattning!K24</f>
        <v/>
      </c>
      <c r="L6" s="39">
        <f>Sammanfattning!L24</f>
        <v/>
      </c>
      <c r="M6" s="39">
        <f>Sammanfattning!M24</f>
        <v/>
      </c>
      <c r="N6" s="39">
        <f>Sammanfattning!N24</f>
        <v/>
      </c>
      <c r="O6" s="39">
        <f>Sammanfattning!O24</f>
        <v/>
      </c>
      <c r="P6" s="39">
        <f>Sammanfattning!P24</f>
        <v/>
      </c>
      <c r="Q6" s="39">
        <f>Sammanfattning!Q24</f>
        <v/>
      </c>
      <c r="R6" s="39">
        <f>Sammanfattning!R24</f>
        <v/>
      </c>
      <c r="S6" s="40">
        <f>Sammanfattning!S24</f>
        <v/>
      </c>
    </row>
    <row r="7">
      <c r="A7" s="36" t="n"/>
      <c r="B7" s="34" t="inlineStr">
        <is>
          <t xml:space="preserve">Matematiska och beräkningsvetenskapliga verktyg </t>
        </is>
      </c>
      <c r="C7" s="37" t="n"/>
      <c r="D7" s="37" t="n"/>
      <c r="E7" s="37" t="n"/>
      <c r="F7" s="38" t="n"/>
      <c r="G7" s="38" t="n"/>
      <c r="H7" s="38" t="n"/>
      <c r="I7" s="38" t="n"/>
      <c r="J7" s="38" t="n"/>
      <c r="K7" s="38" t="n"/>
      <c r="L7" s="38" t="n"/>
      <c r="M7" s="38" t="n"/>
      <c r="N7" s="38" t="n"/>
      <c r="O7" s="38" t="n"/>
      <c r="P7" s="38" t="n"/>
      <c r="Q7" s="38" t="n"/>
      <c r="R7" s="38" t="n"/>
      <c r="S7" s="38" t="n"/>
    </row>
    <row r="8">
      <c r="A8" s="43" t="inlineStr">
        <is>
          <t>x</t>
        </is>
      </c>
      <c r="B8" t="inlineStr">
        <is>
          <t>Programmeringsteknik med C och Matlab</t>
        </is>
      </c>
      <c r="C8" s="45" t="n"/>
      <c r="D8" s="18" t="n"/>
      <c r="E8" s="19" t="n"/>
      <c r="F8" t="n">
        <v>7.5</v>
      </c>
      <c r="G8" t="n">
        <v>7.5</v>
      </c>
      <c r="H8" s="19" t="n"/>
      <c r="I8" s="19" t="n"/>
      <c r="J8" s="19" t="n"/>
      <c r="K8" s="19" t="n"/>
      <c r="L8" s="45" t="n"/>
      <c r="M8" s="45" t="n"/>
      <c r="N8" s="45" t="n"/>
      <c r="O8" s="45" t="n"/>
      <c r="P8" s="45" t="n"/>
      <c r="Q8" s="45" t="n"/>
      <c r="R8" s="45" t="n"/>
      <c r="S8" s="45" t="n"/>
    </row>
    <row r="9">
      <c r="A9" s="1" t="n"/>
      <c r="B9" t="inlineStr">
        <is>
          <t>Endimensionell analys 1</t>
        </is>
      </c>
      <c r="C9" t="n">
        <v>20191204</v>
      </c>
      <c r="F9" t="n">
        <v>7.5</v>
      </c>
      <c r="G9" t="n">
        <v>7.5</v>
      </c>
    </row>
    <row r="10">
      <c r="A10" s="1" t="n"/>
      <c r="B10" t="inlineStr">
        <is>
          <t>Endimensionell analys 2</t>
        </is>
      </c>
      <c r="C10" t="n">
        <v>20200116</v>
      </c>
      <c r="F10" t="n">
        <v>7.5</v>
      </c>
      <c r="G10" t="n">
        <v>7.5</v>
      </c>
    </row>
    <row r="11">
      <c r="B11" t="inlineStr">
        <is>
          <t>Linjär Algebra</t>
        </is>
      </c>
      <c r="C11" t="n">
        <v>20170412</v>
      </c>
      <c r="F11" t="n">
        <v>7.5</v>
      </c>
      <c r="G11" t="n">
        <v>7.5</v>
      </c>
    </row>
    <row r="12">
      <c r="A12" t="inlineStr">
        <is>
          <t>x</t>
        </is>
      </c>
      <c r="B12" t="inlineStr">
        <is>
          <t>Flervariabelanalys</t>
        </is>
      </c>
      <c r="C12" t="n">
        <v>20170412</v>
      </c>
      <c r="F12" t="n">
        <v>7.5</v>
      </c>
      <c r="G12" t="n">
        <v>7.5</v>
      </c>
    </row>
    <row r="13">
      <c r="B13" t="inlineStr">
        <is>
          <t>Fysikens matematiska metoder</t>
        </is>
      </c>
      <c r="C13" t="n">
        <v>20171012</v>
      </c>
      <c r="F13" t="n">
        <v>15</v>
      </c>
      <c r="G13" t="n">
        <v>15</v>
      </c>
    </row>
    <row r="14">
      <c r="A14" s="1" t="n"/>
      <c r="B14" t="inlineStr">
        <is>
          <t>Fysikaliska modellers matematik</t>
        </is>
      </c>
      <c r="C14" t="n">
        <v>20180903</v>
      </c>
      <c r="F14" t="n">
        <v>10.5</v>
      </c>
      <c r="G14" t="n">
        <v>10.5</v>
      </c>
    </row>
    <row r="15">
      <c r="B15" t="inlineStr">
        <is>
          <t>Teknisk beräkningsvetenskap I</t>
        </is>
      </c>
      <c r="C15" t="n">
        <v>20171123</v>
      </c>
      <c r="F15" t="n">
        <v>4.5</v>
      </c>
      <c r="G15" t="n">
        <v>4.5</v>
      </c>
    </row>
    <row r="16">
      <c r="A16" s="36" t="n"/>
      <c r="B16" s="34" t="inlineStr">
        <is>
          <t xml:space="preserve">Statistisk analys och mätvärdesbehandling </t>
        </is>
      </c>
      <c r="C16" s="36" t="n"/>
      <c r="D16" s="37" t="n"/>
      <c r="E16" s="37" t="n"/>
      <c r="F16" s="37" t="n"/>
      <c r="G16" s="37" t="n"/>
      <c r="H16" s="37" t="n"/>
      <c r="I16" s="37" t="n"/>
      <c r="J16" s="37" t="n"/>
      <c r="K16" s="37" t="n"/>
      <c r="L16" s="37" t="n"/>
      <c r="M16" s="37" t="n"/>
      <c r="N16" s="37" t="n"/>
      <c r="O16" s="37" t="n"/>
      <c r="P16" s="37" t="n"/>
      <c r="Q16" s="37" t="n"/>
      <c r="R16" s="37" t="n"/>
      <c r="S16" s="37" t="n"/>
    </row>
    <row r="17">
      <c r="B17" t="inlineStr">
        <is>
          <t>Statistik för tekniska fysiker</t>
        </is>
      </c>
      <c r="F17" t="n">
        <v>6</v>
      </c>
      <c r="H17" t="n">
        <v>6</v>
      </c>
    </row>
    <row r="18">
      <c r="B18" t="inlineStr">
        <is>
          <t>Fysikalisk mätteknik</t>
        </is>
      </c>
      <c r="F18" t="n">
        <v>7.5</v>
      </c>
      <c r="H18" t="n">
        <v>7.5</v>
      </c>
    </row>
    <row r="19">
      <c r="A19" s="36" t="n"/>
      <c r="B19" s="34" t="inlineStr">
        <is>
          <t xml:space="preserve">Fysikalisk teori med tillämpningar </t>
        </is>
      </c>
      <c r="C19" s="36" t="n"/>
      <c r="D19" s="37" t="n"/>
      <c r="E19" s="37" t="n"/>
      <c r="F19" s="37" t="n"/>
      <c r="G19" s="37" t="n"/>
      <c r="H19" s="37" t="n"/>
      <c r="I19" s="37" t="n"/>
      <c r="J19" s="37" t="n"/>
      <c r="K19" s="37" t="n"/>
      <c r="L19" s="37" t="n"/>
      <c r="M19" s="37" t="n"/>
      <c r="N19" s="37" t="n"/>
      <c r="O19" s="37" t="n"/>
      <c r="P19" s="37" t="n"/>
      <c r="Q19" s="37" t="n"/>
      <c r="R19" s="37" t="n"/>
      <c r="S19" s="37" t="n"/>
    </row>
    <row r="20">
      <c r="B20" t="inlineStr">
        <is>
          <t>Klassisk mekanik</t>
        </is>
      </c>
      <c r="F20" t="n">
        <v>9</v>
      </c>
      <c r="I20" t="n">
        <v>9</v>
      </c>
    </row>
    <row r="21">
      <c r="B21" t="inlineStr">
        <is>
          <t>Klassisk mekanik A</t>
        </is>
      </c>
      <c r="F21" t="n">
        <v>7.5</v>
      </c>
      <c r="I21" t="n">
        <v>7.5</v>
      </c>
    </row>
    <row r="22">
      <c r="B22" t="inlineStr">
        <is>
          <t>Speciell relativitetsteori</t>
        </is>
      </c>
      <c r="F22" t="n">
        <v>1.5</v>
      </c>
      <c r="I22" t="n">
        <v>1.5</v>
      </c>
    </row>
    <row r="23">
      <c r="B23" t="inlineStr">
        <is>
          <t>Modern fysik</t>
        </is>
      </c>
      <c r="F23" t="n">
        <v>4.5</v>
      </c>
      <c r="I23" t="n">
        <v>4.5</v>
      </c>
    </row>
    <row r="24">
      <c r="B24" t="inlineStr">
        <is>
          <t xml:space="preserve">Vågfysik och optik </t>
        </is>
      </c>
      <c r="F24" t="n">
        <v>6</v>
      </c>
      <c r="I24" t="n">
        <v>6</v>
      </c>
    </row>
    <row r="25">
      <c r="B25" t="inlineStr">
        <is>
          <t>Elektromagnetismens grunder</t>
        </is>
      </c>
      <c r="F25" t="n">
        <v>6</v>
      </c>
      <c r="I25" t="n">
        <v>6</v>
      </c>
    </row>
    <row r="26">
      <c r="B26" t="inlineStr">
        <is>
          <t>olivia</t>
        </is>
      </c>
      <c r="F26" t="n">
        <v>10</v>
      </c>
    </row>
    <row r="29" customFormat="1" s="43"/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Blad4">
    <outlinePr summaryBelow="1" summaryRight="1"/>
    <pageSetUpPr/>
  </sheetPr>
  <dimension ref="A1:S28"/>
  <sheetViews>
    <sheetView zoomScaleNormal="100" workbookViewId="0">
      <selection activeCell="F10" sqref="F10"/>
    </sheetView>
  </sheetViews>
  <sheetFormatPr baseColWidth="8" defaultColWidth="8.85546875" defaultRowHeight="15"/>
  <cols>
    <col width="9.28515625" bestFit="1" customWidth="1" style="43" min="1" max="1"/>
    <col width="33.28515625" bestFit="1" customWidth="1" style="44" min="2" max="2"/>
    <col width="18.7109375" bestFit="1" customWidth="1" style="43" min="3" max="3"/>
    <col width="19" bestFit="1" customWidth="1" style="44" min="4" max="4"/>
    <col width="18.85546875" bestFit="1" customWidth="1" style="44" min="5" max="5"/>
    <col width="5.42578125" customWidth="1" style="44" min="6" max="6"/>
    <col width="16.42578125" bestFit="1" customWidth="1" style="44" min="7" max="7"/>
    <col width="19.28515625" bestFit="1" customWidth="1" style="44" min="8" max="8"/>
    <col width="13.140625" bestFit="1" customWidth="1" style="44" min="9" max="9"/>
    <col width="10.42578125" bestFit="1" customWidth="1" style="44" min="10" max="10"/>
    <col width="8.7109375" bestFit="1" customWidth="1" style="44" min="11" max="11"/>
    <col width="6.140625" bestFit="1" customWidth="1" style="44" min="16" max="16"/>
    <col width="4.42578125" bestFit="1" customWidth="1" style="44" min="17" max="17"/>
    <col width="5.140625" bestFit="1" customWidth="1" style="44" min="18" max="18"/>
    <col width="4.42578125" bestFit="1" customWidth="1" style="44" min="19" max="19"/>
  </cols>
  <sheetData>
    <row r="1"/>
    <row r="2">
      <c r="F2" s="82">
        <f>Sammanfattning!F20</f>
        <v/>
      </c>
      <c r="G2" s="83" t="n"/>
      <c r="H2" s="83" t="n"/>
      <c r="I2" s="83" t="n"/>
      <c r="J2" s="83" t="n"/>
      <c r="K2" s="83" t="n"/>
      <c r="L2" s="83" t="n"/>
      <c r="M2" s="83" t="n"/>
      <c r="N2" s="83" t="n"/>
      <c r="O2" s="83" t="n"/>
      <c r="P2" s="83" t="n"/>
      <c r="Q2" s="83" t="n"/>
      <c r="R2" s="83" t="n"/>
      <c r="S2" s="77" t="n"/>
    </row>
    <row r="3">
      <c r="F3" s="45" t="n"/>
      <c r="G3" s="82">
        <f>Sammanfattning!G21</f>
        <v/>
      </c>
      <c r="H3" s="83" t="n"/>
      <c r="I3" s="83" t="n"/>
      <c r="J3" s="83" t="n"/>
      <c r="K3" s="83" t="n"/>
      <c r="L3" s="83" t="n"/>
      <c r="M3" s="83" t="n"/>
      <c r="N3" s="83" t="n"/>
      <c r="O3" s="83" t="n"/>
      <c r="P3" s="83" t="n"/>
      <c r="Q3" s="83" t="n"/>
      <c r="R3" s="83" t="n"/>
      <c r="S3" s="77" t="n"/>
    </row>
    <row r="4">
      <c r="G4" s="84">
        <f>Sammanfattning!G22</f>
        <v/>
      </c>
      <c r="H4" s="47" t="n"/>
      <c r="I4" s="79" t="n"/>
      <c r="J4" s="84">
        <f>Sammanfattning!J22</f>
        <v/>
      </c>
      <c r="K4" s="79" t="n"/>
      <c r="L4" s="84">
        <f>Sammanfattning!L22</f>
        <v/>
      </c>
      <c r="M4" s="47" t="n"/>
      <c r="N4" s="47" t="n"/>
      <c r="O4" s="47" t="n"/>
      <c r="P4" s="47" t="n"/>
      <c r="Q4" s="47" t="n"/>
      <c r="R4" s="47" t="n"/>
      <c r="S4" s="79" t="n"/>
    </row>
    <row r="5">
      <c r="A5" s="23">
        <f>Sammanfattning!A23</f>
        <v/>
      </c>
      <c r="B5" s="21">
        <f>Sammanfattning!B23</f>
        <v/>
      </c>
      <c r="C5" s="21">
        <f>Sammanfattning!C23</f>
        <v/>
      </c>
      <c r="D5" s="21">
        <f>Sammanfattning!D23</f>
        <v/>
      </c>
      <c r="E5" s="21">
        <f>Sammanfattning!E23</f>
        <v/>
      </c>
      <c r="F5" s="21">
        <f>Sammanfattning!F23</f>
        <v/>
      </c>
      <c r="G5" s="21">
        <f>Sammanfattning!G23</f>
        <v/>
      </c>
      <c r="H5" s="21">
        <f>Sammanfattning!H23</f>
        <v/>
      </c>
      <c r="I5" s="21">
        <f>Sammanfattning!I23</f>
        <v/>
      </c>
      <c r="J5" s="21">
        <f>Sammanfattning!J23</f>
        <v/>
      </c>
      <c r="K5" s="21">
        <f>Sammanfattning!K23</f>
        <v/>
      </c>
      <c r="L5" s="21">
        <f>Sammanfattning!L23</f>
        <v/>
      </c>
      <c r="M5" s="21">
        <f>Sammanfattning!M23</f>
        <v/>
      </c>
      <c r="N5" s="21">
        <f>Sammanfattning!N23</f>
        <v/>
      </c>
      <c r="O5" s="21">
        <f>Sammanfattning!O23</f>
        <v/>
      </c>
      <c r="P5" s="21">
        <f>Sammanfattning!P23</f>
        <v/>
      </c>
      <c r="Q5" s="21">
        <f>Sammanfattning!Q23</f>
        <v/>
      </c>
      <c r="R5" s="21">
        <f>Sammanfattning!R23</f>
        <v/>
      </c>
      <c r="S5" s="22">
        <f>Sammanfattning!S23</f>
        <v/>
      </c>
    </row>
    <row r="6">
      <c r="A6" s="24">
        <f>Sammanfattning!A24</f>
        <v/>
      </c>
      <c r="B6" s="39">
        <f>Sammanfattning!B24</f>
        <v/>
      </c>
      <c r="C6" s="39">
        <f>Sammanfattning!C24</f>
        <v/>
      </c>
      <c r="D6" s="39">
        <f>Sammanfattning!D24</f>
        <v/>
      </c>
      <c r="E6" s="39">
        <f>Sammanfattning!E24</f>
        <v/>
      </c>
      <c r="F6" s="39">
        <f>Sammanfattning!F24</f>
        <v/>
      </c>
      <c r="G6" s="39">
        <f>Sammanfattning!G24</f>
        <v/>
      </c>
      <c r="H6" s="39">
        <f>Sammanfattning!H24</f>
        <v/>
      </c>
      <c r="I6" s="39">
        <f>Sammanfattning!I24</f>
        <v/>
      </c>
      <c r="J6" s="39">
        <f>Sammanfattning!J24</f>
        <v/>
      </c>
      <c r="K6" s="39">
        <f>Sammanfattning!K24</f>
        <v/>
      </c>
      <c r="L6" s="39">
        <f>Sammanfattning!L24</f>
        <v/>
      </c>
      <c r="M6" s="39">
        <f>Sammanfattning!M24</f>
        <v/>
      </c>
      <c r="N6" s="39">
        <f>Sammanfattning!N24</f>
        <v/>
      </c>
      <c r="O6" s="39">
        <f>Sammanfattning!O24</f>
        <v/>
      </c>
      <c r="P6" s="39">
        <f>Sammanfattning!P24</f>
        <v/>
      </c>
      <c r="Q6" s="39">
        <f>Sammanfattning!Q24</f>
        <v/>
      </c>
      <c r="R6" s="39">
        <f>Sammanfattning!R24</f>
        <v/>
      </c>
      <c r="S6" s="40">
        <f>Sammanfattning!S24</f>
        <v/>
      </c>
    </row>
    <row r="7">
      <c r="B7" t="inlineStr">
        <is>
          <t>Numeriska metoder för PDE</t>
        </is>
      </c>
      <c r="C7" s="1" t="n"/>
      <c r="F7" t="n">
        <v>7.5</v>
      </c>
    </row>
    <row r="8">
      <c r="B8" t="inlineStr">
        <is>
          <t>Avancerad Strömningslära</t>
        </is>
      </c>
      <c r="C8" s="1" t="n"/>
      <c r="F8" t="n">
        <v>7.5</v>
      </c>
    </row>
    <row r="9">
      <c r="B9" t="inlineStr">
        <is>
          <t>profilkursen som ger lite mer poäng</t>
        </is>
      </c>
      <c r="F9" t="n">
        <v>30</v>
      </c>
    </row>
    <row r="10">
      <c r="A10" t="inlineStr">
        <is>
          <t>x</t>
        </is>
      </c>
      <c r="B10" t="inlineStr">
        <is>
          <t>Elektrodynamik 2</t>
        </is>
      </c>
      <c r="C10" s="1" t="n"/>
      <c r="F10" t="n">
        <v>7.5</v>
      </c>
    </row>
    <row r="11"/>
    <row r="12"/>
    <row r="13"/>
    <row r="14"/>
    <row r="15"/>
    <row r="28">
      <c r="B28" t="inlineStr">
        <is>
          <t xml:space="preserve"> </t>
        </is>
      </c>
    </row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Blad3">
    <outlinePr summaryBelow="1" summaryRight="1"/>
    <pageSetUpPr/>
  </sheetPr>
  <dimension ref="A1:S15"/>
  <sheetViews>
    <sheetView zoomScaleNormal="100" workbookViewId="0">
      <selection activeCell="D23" sqref="D23"/>
    </sheetView>
  </sheetViews>
  <sheetFormatPr baseColWidth="8" defaultColWidth="8.85546875" defaultRowHeight="15"/>
  <cols>
    <col width="8.28515625" bestFit="1" customWidth="1" style="44" min="1" max="1"/>
    <col width="9.85546875" bestFit="1" customWidth="1" style="44" min="2" max="2"/>
    <col width="16.7109375" bestFit="1" customWidth="1" style="43" min="3" max="3"/>
    <col width="16.85546875" bestFit="1" customWidth="1" style="44" min="4" max="4"/>
    <col width="18.85546875" bestFit="1" customWidth="1" style="44" min="5" max="5"/>
    <col width="4.140625" bestFit="1" customWidth="1" style="44" min="6" max="6"/>
    <col width="14.42578125" bestFit="1" customWidth="1" style="44" min="7" max="7"/>
    <col width="17.140625" bestFit="1" customWidth="1" style="44" min="8" max="8"/>
    <col width="11.140625" bestFit="1" customWidth="1" style="44" min="9" max="9"/>
    <col width="9.42578125" bestFit="1" customWidth="1" style="44" min="10" max="10"/>
    <col width="8.42578125" bestFit="1" customWidth="1" style="44" min="11" max="11"/>
    <col width="6.85546875" bestFit="1" customWidth="1" style="44" min="12" max="12"/>
    <col width="7.7109375" bestFit="1" customWidth="1" style="44" min="13" max="13"/>
    <col width="6.140625" bestFit="1" customWidth="1" style="44" min="14" max="15"/>
    <col width="5.42578125" bestFit="1" customWidth="1" style="44" min="16" max="16"/>
    <col width="4" bestFit="1" customWidth="1" style="44" min="17" max="17"/>
    <col width="4.7109375" bestFit="1" customWidth="1" style="44" min="18" max="18"/>
    <col width="4.140625" bestFit="1" customWidth="1" style="44" min="19" max="19"/>
  </cols>
  <sheetData>
    <row r="1">
      <c r="A1" s="43" t="n"/>
    </row>
    <row r="2">
      <c r="A2" s="43" t="n"/>
      <c r="F2" s="82">
        <f>Sammanfattning!F20</f>
        <v/>
      </c>
      <c r="G2" s="83" t="n"/>
      <c r="H2" s="83" t="n"/>
      <c r="I2" s="83" t="n"/>
      <c r="J2" s="83" t="n"/>
      <c r="K2" s="83" t="n"/>
      <c r="L2" s="83" t="n"/>
      <c r="M2" s="83" t="n"/>
      <c r="N2" s="83" t="n"/>
      <c r="O2" s="83" t="n"/>
      <c r="P2" s="83" t="n"/>
      <c r="Q2" s="83" t="n"/>
      <c r="R2" s="83" t="n"/>
      <c r="S2" s="77" t="n"/>
    </row>
    <row r="3">
      <c r="A3" s="43" t="n"/>
      <c r="F3" s="45" t="n"/>
      <c r="G3" s="82">
        <f>Sammanfattning!G21</f>
        <v/>
      </c>
      <c r="H3" s="83" t="n"/>
      <c r="I3" s="83" t="n"/>
      <c r="J3" s="83" t="n"/>
      <c r="K3" s="83" t="n"/>
      <c r="L3" s="83" t="n"/>
      <c r="M3" s="83" t="n"/>
      <c r="N3" s="83" t="n"/>
      <c r="O3" s="83" t="n"/>
      <c r="P3" s="83" t="n"/>
      <c r="Q3" s="83" t="n"/>
      <c r="R3" s="83" t="n"/>
      <c r="S3" s="77" t="n"/>
    </row>
    <row r="4">
      <c r="A4" s="43" t="n"/>
      <c r="G4" s="84">
        <f>Sammanfattning!G22</f>
        <v/>
      </c>
      <c r="H4" s="47" t="n"/>
      <c r="I4" s="79" t="n"/>
      <c r="J4" s="84">
        <f>Sammanfattning!J22</f>
        <v/>
      </c>
      <c r="K4" s="79" t="n"/>
      <c r="L4" s="84">
        <f>Sammanfattning!L22</f>
        <v/>
      </c>
      <c r="M4" s="47" t="n"/>
      <c r="N4" s="47" t="n"/>
      <c r="O4" s="47" t="n"/>
      <c r="P4" s="47" t="n"/>
      <c r="Q4" s="47" t="n"/>
      <c r="R4" s="47" t="n"/>
      <c r="S4" s="79" t="n"/>
    </row>
    <row r="5">
      <c r="A5" s="23">
        <f>Sammanfattning!A23</f>
        <v/>
      </c>
      <c r="B5" s="21">
        <f>Sammanfattning!B23</f>
        <v/>
      </c>
      <c r="C5" s="21">
        <f>Sammanfattning!C23</f>
        <v/>
      </c>
      <c r="D5" s="21">
        <f>Sammanfattning!D23</f>
        <v/>
      </c>
      <c r="E5" s="21">
        <f>Sammanfattning!E23</f>
        <v/>
      </c>
      <c r="F5" s="21">
        <f>Sammanfattning!F23</f>
        <v/>
      </c>
      <c r="G5" s="21">
        <f>Sammanfattning!G23</f>
        <v/>
      </c>
      <c r="H5" s="21">
        <f>Sammanfattning!H23</f>
        <v/>
      </c>
      <c r="I5" s="21">
        <f>Sammanfattning!I23</f>
        <v/>
      </c>
      <c r="J5" s="21">
        <f>Sammanfattning!J23</f>
        <v/>
      </c>
      <c r="K5" s="21">
        <f>Sammanfattning!K23</f>
        <v/>
      </c>
      <c r="L5" s="21">
        <f>Sammanfattning!L23</f>
        <v/>
      </c>
      <c r="M5" s="21">
        <f>Sammanfattning!M23</f>
        <v/>
      </c>
      <c r="N5" s="21">
        <f>Sammanfattning!N23</f>
        <v/>
      </c>
      <c r="O5" s="21">
        <f>Sammanfattning!O23</f>
        <v/>
      </c>
      <c r="P5" s="21">
        <f>Sammanfattning!P23</f>
        <v/>
      </c>
      <c r="Q5" s="21">
        <f>Sammanfattning!Q23</f>
        <v/>
      </c>
      <c r="R5" s="21">
        <f>Sammanfattning!R23</f>
        <v/>
      </c>
      <c r="S5" s="22">
        <f>Sammanfattning!S23</f>
        <v/>
      </c>
    </row>
    <row r="6">
      <c r="A6" s="42">
        <f>Sammanfattning!A24</f>
        <v/>
      </c>
      <c r="B6" s="39">
        <f>Sammanfattning!B24</f>
        <v/>
      </c>
      <c r="C6" s="39">
        <f>Sammanfattning!C24</f>
        <v/>
      </c>
      <c r="D6" s="39">
        <f>Sammanfattning!D24</f>
        <v/>
      </c>
      <c r="E6" s="39">
        <f>Sammanfattning!E24</f>
        <v/>
      </c>
      <c r="F6" s="39">
        <f>Sammanfattning!F24</f>
        <v/>
      </c>
      <c r="G6" s="39">
        <f>Sammanfattning!G24</f>
        <v/>
      </c>
      <c r="H6" s="39">
        <f>Sammanfattning!H24</f>
        <v/>
      </c>
      <c r="I6" s="39">
        <f>Sammanfattning!I24</f>
        <v/>
      </c>
      <c r="J6" s="39">
        <f>Sammanfattning!J24</f>
        <v/>
      </c>
      <c r="K6" s="39">
        <f>Sammanfattning!K24</f>
        <v/>
      </c>
      <c r="L6" s="39">
        <f>Sammanfattning!L24</f>
        <v/>
      </c>
      <c r="M6" s="39">
        <f>Sammanfattning!M24</f>
        <v/>
      </c>
      <c r="N6" s="39">
        <f>Sammanfattning!N24</f>
        <v/>
      </c>
      <c r="O6" s="39">
        <f>Sammanfattning!O24</f>
        <v/>
      </c>
      <c r="P6" s="39">
        <f>Sammanfattning!P24</f>
        <v/>
      </c>
      <c r="Q6" s="39">
        <f>Sammanfattning!Q24</f>
        <v/>
      </c>
      <c r="R6" s="39">
        <f>Sammanfattning!R24</f>
        <v/>
      </c>
      <c r="S6" s="40">
        <f>Sammanfattning!S24</f>
        <v/>
      </c>
    </row>
    <row r="7">
      <c r="A7" s="1" t="n"/>
      <c r="B7" t="inlineStr">
        <is>
          <t>HUT</t>
        </is>
      </c>
      <c r="C7" t="n">
        <v>20190825</v>
      </c>
      <c r="F7" t="n">
        <v>7.5</v>
      </c>
    </row>
    <row r="8">
      <c r="A8" s="43" t="n"/>
      <c r="B8" t="inlineStr">
        <is>
          <t>DBT</t>
        </is>
      </c>
      <c r="C8" t="n">
        <v>20210112</v>
      </c>
      <c r="F8" t="n">
        <v>15</v>
      </c>
    </row>
    <row r="9"/>
    <row r="10">
      <c r="C10" s="1" t="n"/>
    </row>
    <row r="11">
      <c r="C11" s="1" t="n"/>
    </row>
    <row r="12">
      <c r="C12" s="1" t="n"/>
    </row>
    <row r="13"/>
    <row r="14"/>
    <row r="15"/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zoomScaleNormal="100" workbookViewId="0">
      <selection activeCell="A2" sqref="A2"/>
    </sheetView>
  </sheetViews>
  <sheetFormatPr baseColWidth="8" defaultColWidth="11.42578125" defaultRowHeight="15"/>
  <sheetData>
    <row r="1">
      <c r="A1" t="inlineStr">
        <is>
          <t>v0.01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Blad5">
    <outlinePr summaryBelow="1" summaryRight="1"/>
    <pageSetUpPr/>
  </sheetPr>
  <dimension ref="A1:A6"/>
  <sheetViews>
    <sheetView zoomScaleNormal="100" workbookViewId="0">
      <selection activeCell="E1" sqref="E1:K5"/>
    </sheetView>
  </sheetViews>
  <sheetFormatPr baseColWidth="8" defaultColWidth="8.85546875" defaultRowHeight="15"/>
  <cols>
    <col width="59.7109375" bestFit="1" customWidth="1" style="44" min="1" max="1"/>
  </cols>
  <sheetData>
    <row r="1">
      <c r="A1" s="6" t="inlineStr">
        <is>
          <t>Välj ett alternativ. För annan anledning välj den tomma och fyll i.</t>
        </is>
      </c>
    </row>
    <row r="2">
      <c r="A2" s="6" t="inlineStr">
        <is>
          <t>Ansökan om examen</t>
        </is>
      </c>
    </row>
    <row r="3">
      <c r="A3" s="6" t="inlineStr">
        <is>
          <t>Ansökan om examensarbete</t>
        </is>
      </c>
    </row>
    <row r="4">
      <c r="A4" s="6" t="inlineStr">
        <is>
          <t>Ansökan om utlandsstudier</t>
        </is>
      </c>
    </row>
    <row r="5">
      <c r="A5" s="6" t="inlineStr">
        <is>
          <t>Planering av studier</t>
        </is>
      </c>
    </row>
    <row r="6">
      <c r="A6" s="6" t="inlineStr">
        <is>
          <t>Kommentar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Fritz FOrsgren</dc:creator>
  <dc:title xmlns:dc="http://purl.org/dc/elements/1.1/">Individuell studieplan</dc:title>
  <dcterms:created xmlns:dcterms="http://purl.org/dc/terms/" xmlns:xsi="http://www.w3.org/2001/XMLSchema-instance" xsi:type="dcterms:W3CDTF">2020-01-29T00:01:20Z</dcterms:created>
  <dcterms:modified xmlns:dcterms="http://purl.org/dc/terms/" xmlns:xsi="http://www.w3.org/2001/XMLSchema-instance" xsi:type="dcterms:W3CDTF">2020-02-20T14:13:15Z</dcterms:modified>
  <cp:lastModifiedBy>Johan</cp:lastModifiedBy>
  <cp:category>examensbilaga</cp:category>
  <cp:keywords>exam, teknisk fysik</cp:keywords>
</cp:coreProperties>
</file>