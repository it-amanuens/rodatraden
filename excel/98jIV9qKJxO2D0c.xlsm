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740" firstSheet="0" activeTab="1" autoFilterDateGrouping="1"/>
  </bookViews>
  <sheets>
    <sheet xmlns:r="http://schemas.openxmlformats.org/officeDocument/2006/relationships" name="Instruktioner osv" sheetId="1" state="visible" r:id="rId1"/>
    <sheet xmlns:r="http://schemas.openxmlformats.org/officeDocument/2006/relationships" name="Sammanfattning" sheetId="2" state="visible" r:id="rId2"/>
    <sheet xmlns:r="http://schemas.openxmlformats.org/officeDocument/2006/relationships" name="Basterminer" sheetId="3" state="visible" r:id="rId3"/>
    <sheet xmlns:r="http://schemas.openxmlformats.org/officeDocument/2006/relationships" name="Allmänna ingenjörskurser" sheetId="4" state="visible" r:id="rId4"/>
    <sheet xmlns:r="http://schemas.openxmlformats.org/officeDocument/2006/relationships" name="Profilkurser" sheetId="5" state="visible" r:id="rId5"/>
    <sheet xmlns:r="http://schemas.openxmlformats.org/officeDocument/2006/relationships" name="Övriga kurser" sheetId="6" state="visible" r:id="rId6"/>
    <sheet xmlns:r="http://schemas.openxmlformats.org/officeDocument/2006/relationships" name="Patch notes" sheetId="7" state="visible" r:id="rId7"/>
    <sheet xmlns:r="http://schemas.openxmlformats.org/officeDocument/2006/relationships" name="Random code" sheetId="8" state="visible" r:id="rId8"/>
    <sheet xmlns:r="http://schemas.openxmlformats.org/officeDocument/2006/relationships" name="Ej genererade kurser" sheetId="9" state="visible" r:id="rId9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i val="1"/>
      <color theme="1"/>
      <sz val="8"/>
      <scheme val="minor"/>
    </font>
    <font>
      <name val="Calibri"/>
      <family val="2"/>
      <color rgb="FF000000"/>
      <sz val="12"/>
    </font>
    <font>
      <name val="Calibri"/>
      <family val="2"/>
      <sz val="11"/>
      <scheme val="minor"/>
    </font>
    <font>
      <name val="Calibri"/>
      <family val="2"/>
      <color theme="0" tint="-0.249977111117893"/>
      <sz val="11"/>
      <scheme val="minor"/>
    </font>
    <font>
      <b val="1"/>
    </font>
  </fonts>
  <fills count="6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00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4" fillId="0" borderId="0"/>
  </cellStyleXfs>
  <cellXfs count="109"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 vertical="top"/>
    </xf>
    <xf numFmtId="0" fontId="0" fillId="0" borderId="0" applyAlignment="1" pivotButton="0" quotePrefix="0" xfId="0">
      <alignment vertical="top"/>
    </xf>
    <xf numFmtId="0" fontId="0" fillId="0" borderId="0" pivotButton="0" quotePrefix="0" xfId="0"/>
    <xf numFmtId="0" fontId="5" fillId="0" borderId="0" applyAlignment="1" pivotButton="0" quotePrefix="0" xfId="0">
      <alignment horizontal="right" vertical="center"/>
    </xf>
    <xf numFmtId="0" fontId="7" fillId="0" borderId="3" applyAlignment="1" pivotButton="0" quotePrefix="0" xfId="0">
      <alignment vertical="center"/>
    </xf>
    <xf numFmtId="0" fontId="3" fillId="0" borderId="3" applyAlignment="1" pivotButton="0" quotePrefix="0" xfId="0">
      <alignment vertical="center"/>
    </xf>
    <xf numFmtId="0" fontId="5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0" fillId="0" borderId="0" pivotButton="0" quotePrefix="0" xfId="0"/>
    <xf numFmtId="0" fontId="0" fillId="0" borderId="4" applyAlignment="1" pivotButton="0" quotePrefix="0" xfId="0">
      <alignment horizontal="left"/>
    </xf>
    <xf numFmtId="0" fontId="0" fillId="0" borderId="7" applyAlignment="1" pivotButton="0" quotePrefix="0" xfId="0">
      <alignment horizontal="left"/>
    </xf>
    <xf numFmtId="0" fontId="0" fillId="0" borderId="8" applyAlignment="1" pivotButton="0" quotePrefix="0" xfId="0">
      <alignment horizontal="left"/>
    </xf>
    <xf numFmtId="0" fontId="0" fillId="0" borderId="9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3" fillId="0" borderId="0" applyAlignment="1" pivotButton="0" quotePrefix="0" xfId="0">
      <alignment vertical="top"/>
    </xf>
    <xf numFmtId="0" fontId="0" fillId="0" borderId="0" pivotButton="0" quotePrefix="0" xfId="0"/>
    <xf numFmtId="0" fontId="0" fillId="4" borderId="0" pivotButton="0" quotePrefix="0" xfId="0"/>
    <xf numFmtId="0" fontId="0" fillId="4" borderId="1" applyAlignment="1" pivotButton="0" quotePrefix="0" xfId="0">
      <alignment horizontal="right"/>
    </xf>
    <xf numFmtId="0" fontId="0" fillId="2" borderId="1" pivotButton="0" quotePrefix="0" xfId="0"/>
    <xf numFmtId="0" fontId="1" fillId="4" borderId="0" pivotButton="0" quotePrefix="0" xfId="0"/>
    <xf numFmtId="0" fontId="1" fillId="4" borderId="0" pivotButton="0" quotePrefix="0" xfId="0"/>
    <xf numFmtId="0" fontId="0" fillId="4" borderId="0" applyAlignment="1" pivotButton="0" quotePrefix="0" xfId="0">
      <alignment horizontal="center"/>
    </xf>
    <xf numFmtId="0" fontId="0" fillId="4" borderId="0" applyAlignment="1" pivotButton="0" quotePrefix="0" xfId="0">
      <alignment horizontal="center"/>
    </xf>
    <xf numFmtId="0" fontId="0" fillId="4" borderId="0" pivotButton="0" quotePrefix="0" xfId="0"/>
    <xf numFmtId="0" fontId="5" fillId="4" borderId="0" applyAlignment="1" pivotButton="0" quotePrefix="0" xfId="0">
      <alignment vertical="center"/>
    </xf>
    <xf numFmtId="0" fontId="1" fillId="0" borderId="3" applyAlignment="1" pivotButton="0" quotePrefix="0" xfId="0">
      <alignment horizontal="left"/>
    </xf>
    <xf numFmtId="0" fontId="1" fillId="0" borderId="10" applyAlignment="1" pivotButton="0" quotePrefix="0" xfId="0">
      <alignment horizontal="left"/>
    </xf>
    <xf numFmtId="0" fontId="3" fillId="3" borderId="1" pivotButton="0" quotePrefix="0" xfId="0"/>
    <xf numFmtId="0" fontId="0" fillId="0" borderId="9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7" fillId="0" borderId="0" applyAlignment="1" pivotButton="0" quotePrefix="0" xfId="0">
      <alignment vertical="center"/>
    </xf>
    <xf numFmtId="0" fontId="0" fillId="0" borderId="4" applyAlignment="1" pivotButton="0" quotePrefix="0" xfId="0">
      <alignment horizontal="center"/>
    </xf>
    <xf numFmtId="0" fontId="0" fillId="0" borderId="4" pivotButton="0" quotePrefix="0" xfId="0"/>
    <xf numFmtId="0" fontId="5" fillId="0" borderId="4" applyAlignment="1" pivotButton="0" quotePrefix="0" xfId="0">
      <alignment vertical="center"/>
    </xf>
    <xf numFmtId="0" fontId="5" fillId="0" borderId="7" applyAlignment="1" pivotButton="0" quotePrefix="0" xfId="0">
      <alignment vertical="center"/>
    </xf>
    <xf numFmtId="0" fontId="0" fillId="0" borderId="3" applyAlignment="1" pivotButton="0" quotePrefix="0" xfId="0">
      <alignment horizontal="center" vertical="center"/>
    </xf>
    <xf numFmtId="0" fontId="7" fillId="0" borderId="3" applyAlignment="1" pivotButton="0" quotePrefix="0" xfId="0">
      <alignment horizontal="left" vertical="top"/>
    </xf>
    <xf numFmtId="0" fontId="7" fillId="0" borderId="10" applyAlignment="1" pivotButton="0" quotePrefix="0" xfId="0">
      <alignment horizontal="left" vertical="top"/>
    </xf>
    <xf numFmtId="0" fontId="0" fillId="0" borderId="0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vertical="top" wrapText="1"/>
    </xf>
    <xf numFmtId="0" fontId="11" fillId="4" borderId="0" pivotButton="0" quotePrefix="0" xfId="0"/>
    <xf numFmtId="0" fontId="3" fillId="3" borderId="1" applyAlignment="1" pivotButton="0" quotePrefix="0" xfId="0">
      <alignment horizontal="left"/>
    </xf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left"/>
    </xf>
    <xf numFmtId="0" fontId="0" fillId="0" borderId="0" pivotButton="0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vertical="center"/>
    </xf>
    <xf numFmtId="0" fontId="0" fillId="4" borderId="0" applyAlignment="1" pivotButton="0" quotePrefix="0" xfId="0">
      <alignment horizontal="center" vertical="center"/>
    </xf>
    <xf numFmtId="0" fontId="0" fillId="4" borderId="0" applyAlignment="1" pivotButton="0" quotePrefix="0" xfId="0">
      <alignment horizontal="center"/>
    </xf>
    <xf numFmtId="0" fontId="0" fillId="4" borderId="0" pivotButton="0" quotePrefix="0" xfId="0"/>
    <xf numFmtId="0" fontId="7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left" vertical="center" wrapText="1"/>
    </xf>
    <xf numFmtId="0" fontId="8" fillId="0" borderId="3" applyAlignment="1" pivotButton="0" quotePrefix="0" xfId="0">
      <alignment horizontal="left" vertical="center" wrapText="1"/>
    </xf>
    <xf numFmtId="0" fontId="5" fillId="0" borderId="0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7" fillId="0" borderId="8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5" borderId="5" applyAlignment="1" pivotButton="0" quotePrefix="0" xfId="0">
      <alignment horizontal="center" vertical="center"/>
    </xf>
    <xf numFmtId="0" fontId="7" fillId="2" borderId="5" applyAlignment="1" pivotButton="0" quotePrefix="0" xfId="0">
      <alignment horizontal="center" vertical="center"/>
    </xf>
    <xf numFmtId="14" fontId="3" fillId="3" borderId="1" pivotButton="0" quotePrefix="0" xfId="0"/>
    <xf numFmtId="0" fontId="3" fillId="3" borderId="1" pivotButton="0" quotePrefix="0" xfId="0"/>
    <xf numFmtId="0" fontId="4" fillId="3" borderId="1" pivotButton="0" quotePrefix="0" xfId="1"/>
    <xf numFmtId="0" fontId="0" fillId="4" borderId="6" applyAlignment="1" pivotButton="0" quotePrefix="0" xfId="0">
      <alignment horizontal="right"/>
    </xf>
    <xf numFmtId="0" fontId="0" fillId="4" borderId="2" applyAlignment="1" pivotButton="0" quotePrefix="0" xfId="0">
      <alignment horizontal="right"/>
    </xf>
    <xf numFmtId="0" fontId="10" fillId="4" borderId="6" pivotButton="0" quotePrefix="0" xfId="0"/>
    <xf numFmtId="0" fontId="10" fillId="5" borderId="2" pivotButton="0" quotePrefix="0" xfId="0"/>
    <xf numFmtId="0" fontId="0" fillId="5" borderId="2" applyAlignment="1" pivotButton="0" quotePrefix="0" xfId="0">
      <alignment horizontal="right"/>
    </xf>
    <xf numFmtId="0" fontId="0" fillId="4" borderId="1" applyAlignment="1" pivotButton="0" quotePrefix="0" xfId="0">
      <alignment horizontal="right"/>
    </xf>
    <xf numFmtId="0" fontId="3" fillId="3" borderId="1" applyAlignment="1" pivotButton="0" quotePrefix="0" xfId="0">
      <alignment vertical="top" wrapText="1"/>
    </xf>
    <xf numFmtId="0" fontId="6" fillId="0" borderId="3" pivotButton="0" quotePrefix="0" xfId="0"/>
    <xf numFmtId="0" fontId="7" fillId="0" borderId="6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5" pivotButton="0" quotePrefix="0" xfId="0"/>
    <xf numFmtId="0" fontId="0" fillId="0" borderId="2" pivotButton="0" quotePrefix="0" xfId="0"/>
    <xf numFmtId="0" fontId="0" fillId="0" borderId="7" pivotButton="0" quotePrefix="0" xfId="0"/>
    <xf numFmtId="0" fontId="0" fillId="0" borderId="11" pivotButton="0" quotePrefix="0" xfId="0"/>
    <xf numFmtId="0" fontId="0" fillId="0" borderId="12" pivotButton="0" quotePrefix="0" xfId="0"/>
    <xf numFmtId="0" fontId="0" fillId="0" borderId="9" pivotButton="0" quotePrefix="0" xfId="0"/>
    <xf numFmtId="0" fontId="0" fillId="0" borderId="10" pivotButton="0" quotePrefix="0" xfId="0"/>
    <xf numFmtId="0" fontId="10" fillId="4" borderId="1" pivotButton="0" quotePrefix="0" xfId="0"/>
    <xf numFmtId="0" fontId="7" fillId="0" borderId="1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bottom"/>
    </xf>
    <xf numFmtId="0" fontId="12" fillId="0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Blad1">
    <outlinePr summaryBelow="1" summaryRight="1"/>
    <pageSetUpPr/>
  </sheetPr>
  <dimension ref="A3:M52"/>
  <sheetViews>
    <sheetView topLeftCell="A11" zoomScale="115" zoomScaleNormal="115" workbookViewId="0">
      <selection activeCell="L49" sqref="L49"/>
    </sheetView>
  </sheetViews>
  <sheetFormatPr baseColWidth="8" defaultColWidth="8.85546875" defaultRowHeight="15"/>
  <cols>
    <col width="15.7109375" bestFit="1" customWidth="1" style="59" min="1" max="1"/>
    <col width="11.85546875" bestFit="1" customWidth="1" style="59" min="2" max="2"/>
  </cols>
  <sheetData>
    <row r="3">
      <c r="A3" t="inlineStr">
        <is>
          <t>Instruktioner osv</t>
        </is>
      </c>
    </row>
    <row r="6">
      <c r="A6" t="inlineStr">
        <is>
          <t>Hej! Kul att du ville vara här, för att fylla i denna går du till fliken som kursen ligger i, markera cellen för att fylla den med ett " x "  och godkäntdatum för kurserna för att sedan gå till sammanfattning och klicka generera sammanfattning</t>
        </is>
      </c>
    </row>
    <row r="10">
      <c r="A10" t="inlineStr">
        <is>
          <t xml:space="preserve">Till er som började före år </t>
        </is>
      </c>
    </row>
    <row r="13">
      <c r="A13" t="inlineStr">
        <is>
          <t>Till er som började efter år</t>
        </is>
      </c>
    </row>
    <row r="16">
      <c r="A16" t="inlineStr">
        <is>
          <t>2 typer av kommentarer, från ispn och från studenter</t>
        </is>
      </c>
    </row>
    <row r="18">
      <c r="A18" t="inlineStr">
        <is>
          <t>popupruta för kommentar från isp ?</t>
        </is>
      </c>
    </row>
    <row r="20">
      <c r="A20" t="inlineStr">
        <is>
          <t>ruta med villkor</t>
        </is>
      </c>
    </row>
    <row r="28">
      <c r="A28" s="9" t="inlineStr">
        <is>
          <t>Kolumnförklaring:</t>
        </is>
      </c>
      <c r="B28" s="10" t="n"/>
      <c r="C28" s="10" t="n"/>
      <c r="D28" s="10" t="n"/>
      <c r="E28" s="10" t="n"/>
      <c r="F28" s="10" t="n"/>
      <c r="G28" s="10" t="n"/>
      <c r="H28" s="10" t="n"/>
      <c r="I28" s="10" t="n"/>
      <c r="J28" s="10" t="n"/>
      <c r="K28" s="10" t="n"/>
      <c r="L28" s="10" t="n"/>
      <c r="M28" s="10" t="n"/>
    </row>
    <row r="29">
      <c r="A29" s="11" t="inlineStr">
        <is>
          <t>Datum</t>
        </is>
      </c>
      <c r="B29" s="12" t="inlineStr">
        <is>
          <t>1.</t>
        </is>
      </c>
      <c r="C29" s="70" t="inlineStr">
        <is>
          <t>Datum för godkänt på kursen. Måste anges på formatet åååå-mm-dd.</t>
        </is>
      </c>
      <c r="D29" s="44" t="n"/>
      <c r="E29" s="44" t="n"/>
      <c r="F29" s="44" t="n"/>
      <c r="G29" s="44" t="n"/>
      <c r="H29" s="44" t="n"/>
      <c r="I29" s="44" t="n"/>
      <c r="J29" s="44" t="n"/>
      <c r="K29" s="44" t="n"/>
      <c r="L29" s="44" t="n"/>
      <c r="M29" s="44" t="n"/>
    </row>
    <row r="30">
      <c r="A30" s="11" t="inlineStr">
        <is>
          <t>Kurskod</t>
        </is>
      </c>
      <c r="B30" s="12" t="inlineStr">
        <is>
          <t>2.</t>
        </is>
      </c>
      <c r="C30" s="69" t="inlineStr">
        <is>
          <t>Kurskod.</t>
        </is>
      </c>
    </row>
    <row r="31">
      <c r="A31" s="11" t="inlineStr">
        <is>
          <t>Kursnamn</t>
        </is>
      </c>
      <c r="B31" s="12" t="inlineStr">
        <is>
          <t>3.</t>
        </is>
      </c>
      <c r="C31" s="69" t="inlineStr">
        <is>
          <t>Kursens namn.</t>
        </is>
      </c>
    </row>
    <row r="32">
      <c r="A32" s="11" t="inlineStr">
        <is>
          <t>Hp</t>
        </is>
      </c>
      <c r="B32" s="12" t="inlineStr">
        <is>
          <t>4.</t>
        </is>
      </c>
      <c r="C32" s="69" t="inlineStr">
        <is>
          <t>Kursen totala hp.</t>
        </is>
      </c>
    </row>
    <row r="33">
      <c r="A33" s="11" t="n"/>
      <c r="B33" s="12" t="inlineStr">
        <is>
          <t>5.-8.</t>
        </is>
      </c>
      <c r="C33" s="67" t="inlineStr">
        <is>
          <t>Antal hp av kursens totala hp som återfinns i kategorierna 4-7 nedan - se utbildningsplan!</t>
        </is>
      </c>
    </row>
    <row r="34">
      <c r="A34" s="11" t="inlineStr">
        <is>
          <t>PL</t>
        </is>
      </c>
      <c r="B34" s="69" t="inlineStr">
        <is>
          <t>5.</t>
        </is>
      </c>
      <c r="C34" s="69" t="inlineStr">
        <is>
          <t>Hp projektledning (minst 7,5hp i examen) (notera att projektledning och projektarbete inte är samma sak).</t>
        </is>
      </c>
    </row>
    <row r="35">
      <c r="A35" s="11" t="inlineStr">
        <is>
          <t>Pa</t>
        </is>
      </c>
      <c r="B35" s="69" t="inlineStr">
        <is>
          <t>6.</t>
        </is>
      </c>
      <c r="C35" s="69" t="inlineStr">
        <is>
          <t xml:space="preserve">Hp projektarbete, fyll i 6.1-6.4. </t>
        </is>
      </c>
      <c r="D35" s="69" t="n"/>
      <c r="E35" s="69" t="n"/>
      <c r="F35" s="69" t="n"/>
      <c r="G35" s="69" t="n"/>
      <c r="H35" s="69" t="n"/>
      <c r="I35" s="69" t="n"/>
      <c r="J35" s="69" t="n"/>
      <c r="K35" s="69" t="n"/>
      <c r="L35" s="69" t="n"/>
      <c r="M35" s="69" t="n"/>
    </row>
    <row r="36">
      <c r="A36" s="11" t="inlineStr">
        <is>
          <t>PaN</t>
        </is>
      </c>
      <c r="B36" s="12" t="inlineStr">
        <is>
          <t>6.1</t>
        </is>
      </c>
      <c r="C36" s="69" t="inlineStr">
        <is>
          <t>Hp projektarbete mot näringsliv/samhälle (minst 7,5hp i examen).</t>
        </is>
      </c>
    </row>
    <row r="37">
      <c r="A37" s="11" t="inlineStr">
        <is>
          <t>PaSam</t>
        </is>
      </c>
      <c r="B37" s="12" t="inlineStr">
        <is>
          <t>6.2</t>
        </is>
      </c>
      <c r="C37" s="69" t="inlineStr">
        <is>
          <t>Hp sammanhängande projektarbete genomfört i större projektgrupp (minst 7,5hp långa). (*)</t>
        </is>
      </c>
    </row>
    <row r="38">
      <c r="A38" s="11" t="inlineStr">
        <is>
          <t>PaStor</t>
        </is>
      </c>
      <c r="B38" s="12" t="inlineStr">
        <is>
          <t>6.3</t>
        </is>
      </c>
      <c r="C38" s="69" t="inlineStr">
        <is>
          <t>Hp  projektarbete genomfört i större projektgrupp. (*)</t>
        </is>
      </c>
    </row>
    <row r="39">
      <c r="A39" s="11" t="inlineStr">
        <is>
          <t>PaTot</t>
        </is>
      </c>
      <c r="B39" s="12" t="inlineStr">
        <is>
          <t>6.4</t>
        </is>
      </c>
      <c r="C39" s="69" t="inlineStr">
        <is>
          <t>Totala hp projektarbete (minst 15hp i examen). Det är tillåtet att kurs samtidigt uppfyller ett/flera krav inom 6.1-6.3. (*)</t>
        </is>
      </c>
    </row>
    <row r="40">
      <c r="A40" s="11" t="inlineStr">
        <is>
          <t>Hut</t>
        </is>
      </c>
      <c r="B40" s="12" t="inlineStr">
        <is>
          <t>7.</t>
        </is>
      </c>
      <c r="C40" s="69" t="inlineStr">
        <is>
          <t>Hp hållbar utveckling (minst 7,5hp i examen).</t>
        </is>
      </c>
    </row>
    <row r="41">
      <c r="A41" s="11" t="inlineStr">
        <is>
          <t>Data</t>
        </is>
      </c>
      <c r="B41" s="12" t="inlineStr">
        <is>
          <t>8.</t>
        </is>
      </c>
      <c r="C41" s="69" t="inlineStr">
        <is>
          <t>Hp datavetenskap (minst 12hp i examen). Gäller enbart kategori ma-ber-verktyg.</t>
        </is>
      </c>
    </row>
    <row r="42">
      <c r="A42" s="11" t="inlineStr">
        <is>
          <t>Avn</t>
        </is>
      </c>
      <c r="B42" s="12" t="inlineStr">
        <is>
          <t>9.</t>
        </is>
      </c>
      <c r="C42" s="69" t="inlineStr">
        <is>
          <t>Hp kurser på avancerad nivå</t>
        </is>
      </c>
      <c r="D42" s="69" t="n"/>
      <c r="E42" s="69" t="n"/>
      <c r="F42" s="69" t="n"/>
      <c r="G42" s="69" t="n"/>
      <c r="H42" s="69" t="n"/>
      <c r="I42" s="69" t="n"/>
      <c r="J42" s="69" t="n"/>
      <c r="K42" s="69" t="n"/>
      <c r="L42" s="69" t="n"/>
      <c r="M42" s="69" t="n"/>
    </row>
    <row r="43">
      <c r="A43" s="11" t="inlineStr">
        <is>
          <t>Kommentarer</t>
        </is>
      </c>
      <c r="B43" s="12" t="inlineStr">
        <is>
          <t>10.</t>
        </is>
      </c>
      <c r="C43" s="67" t="inlineStr">
        <is>
          <t>Ev. kommentarer, t.ex. gällande ej avklarade kurser (omtentor, restlabbar) eller kurser som avses läsas eller som har/ska tillgodoräknas.</t>
        </is>
      </c>
    </row>
    <row r="44" ht="40.5" customHeight="1" s="59">
      <c r="A44" s="68" t="inlineStr">
        <is>
          <t>(*) Förtydligande:
- Studenter som antagits på programmat innan ht 2011 får använda lägre krav: Minst 7,5 hp projektarbete i grupp om minst 3 personer (samt inget krav om sammanhängande projekt). 
- Studenter som antagits f.o.m. ht 2011 måste följa kravet: Alla projektkurspoäng i stor grupp (minst 4 personer) samt minst 7,5 hp sammanhängande projekt.</t>
        </is>
      </c>
      <c r="B44" s="96" t="n"/>
      <c r="C44" s="96" t="n"/>
      <c r="D44" s="96" t="n"/>
      <c r="E44" s="96" t="n"/>
      <c r="F44" s="96" t="n"/>
      <c r="G44" s="96" t="n"/>
      <c r="H44" s="96" t="n"/>
      <c r="I44" s="96" t="n"/>
      <c r="J44" s="96" t="n"/>
      <c r="K44" s="96" t="n"/>
      <c r="L44" s="96" t="n"/>
      <c r="M44" s="96" t="n"/>
    </row>
    <row r="48">
      <c r="A48" t="inlineStr">
        <is>
          <t>kanske inte obligatoriska kurser</t>
        </is>
      </c>
    </row>
    <row r="50">
      <c r="A50" t="inlineStr">
        <is>
          <t>Viktigt att få ut information</t>
        </is>
      </c>
    </row>
    <row r="52">
      <c r="A52" t="inlineStr">
        <is>
          <t>gå in och läs på hemsidan vad som gäller, tekniskfysik.se/examensarbete</t>
        </is>
      </c>
    </row>
  </sheetData>
  <mergeCells count="14">
    <mergeCell ref="C29:M29"/>
    <mergeCell ref="C30:M30"/>
    <mergeCell ref="C31:M31"/>
    <mergeCell ref="C32:M32"/>
    <mergeCell ref="C33:M33"/>
    <mergeCell ref="C43:M43"/>
    <mergeCell ref="A44:M44"/>
    <mergeCell ref="C34:M34"/>
    <mergeCell ref="C36:M36"/>
    <mergeCell ref="C37:M37"/>
    <mergeCell ref="C38:M38"/>
    <mergeCell ref="C39:M39"/>
    <mergeCell ref="C40:M40"/>
    <mergeCell ref="C41:M4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Blad2">
    <outlinePr summaryBelow="1" summaryRight="1"/>
    <pageSetUpPr/>
  </sheetPr>
  <dimension ref="A1:AD205"/>
  <sheetViews>
    <sheetView tabSelected="1" zoomScale="85" zoomScaleNormal="85" workbookViewId="0">
      <selection activeCell="P45" sqref="P45"/>
    </sheetView>
  </sheetViews>
  <sheetFormatPr baseColWidth="8" defaultColWidth="8.85546875" defaultRowHeight="15"/>
  <cols>
    <col width="9.28515625" bestFit="1" customWidth="1" style="40" min="1" max="1"/>
    <col width="46.7109375" bestFit="1" customWidth="1" style="59" min="2" max="2"/>
    <col width="8" bestFit="1" customWidth="1" style="59" min="3" max="3"/>
    <col width="16.140625" customWidth="1" style="59" min="4" max="4"/>
    <col width="20" bestFit="1" customWidth="1" style="40" min="5" max="5"/>
    <col width="23.28515625" customWidth="1" style="59" min="6" max="6"/>
    <col width="4.28515625" customWidth="1" style="59" min="7" max="7"/>
    <col width="6.42578125" bestFit="1" customWidth="1" style="59" min="8" max="8"/>
    <col width="8.7109375" customWidth="1" style="59" min="9" max="9"/>
    <col width="5.7109375" customWidth="1" style="59" min="10" max="11"/>
    <col width="6.140625" customWidth="1" style="59" min="12" max="12"/>
    <col width="5.42578125" customWidth="1" style="59" min="13" max="13"/>
    <col width="4.42578125" bestFit="1" customWidth="1" style="59" min="14" max="14"/>
    <col width="6.7109375" customWidth="1" style="59" min="15" max="15"/>
    <col width="6.42578125" customWidth="1" style="59" min="16" max="16"/>
    <col width="6.140625" customWidth="1" style="59" min="17" max="17"/>
    <col width="4.85546875" customWidth="1" style="59" min="18" max="18"/>
    <col width="6" customWidth="1" style="59" min="19" max="19"/>
    <col width="5" customWidth="1" style="59" min="20" max="20"/>
  </cols>
  <sheetData>
    <row r="1" ht="15.75" customHeight="1" s="59">
      <c r="B1" s="57" t="inlineStr">
        <is>
          <t>Datum:</t>
        </is>
      </c>
      <c r="C1" s="79" t="n"/>
      <c r="D1" s="97" t="n"/>
      <c r="E1" s="98" t="n"/>
      <c r="H1" s="89" t="inlineStr">
        <is>
          <t>Sammanfattning</t>
        </is>
      </c>
      <c r="I1" s="96" t="n"/>
      <c r="J1" s="96" t="n"/>
      <c r="K1" s="96" t="n"/>
      <c r="L1" s="96" t="n"/>
    </row>
    <row r="2">
      <c r="B2" s="57" t="inlineStr">
        <is>
          <t>Namn:</t>
        </is>
      </c>
      <c r="C2" s="80" t="n"/>
      <c r="D2" s="97" t="n"/>
      <c r="E2" s="98" t="n"/>
      <c r="H2" s="87" t="inlineStr">
        <is>
          <t>Kategori</t>
        </is>
      </c>
      <c r="I2" s="98" t="n"/>
      <c r="J2" s="87" t="inlineStr">
        <is>
          <t>Min. krav hp</t>
        </is>
      </c>
      <c r="K2" s="98" t="n"/>
      <c r="L2" s="87" t="inlineStr">
        <is>
          <t>hp</t>
        </is>
      </c>
    </row>
    <row r="3">
      <c r="B3" s="57" t="inlineStr">
        <is>
          <t>Personnummer:</t>
        </is>
      </c>
      <c r="C3" s="80" t="n"/>
      <c r="D3" s="97" t="n"/>
      <c r="E3" s="98" t="n"/>
      <c r="H3" s="87" t="inlineStr">
        <is>
          <t>Total poäng:</t>
        </is>
      </c>
      <c r="I3" s="98" t="n"/>
      <c r="J3" s="87" t="n">
        <v>300</v>
      </c>
      <c r="K3" s="98" t="n"/>
      <c r="L3" s="29" t="n">
        <v>0</v>
      </c>
    </row>
    <row r="4">
      <c r="B4" s="57" t="inlineStr">
        <is>
          <t>Telefon:</t>
        </is>
      </c>
      <c r="C4" s="81" t="n"/>
      <c r="D4" s="97" t="n"/>
      <c r="E4" s="98" t="n"/>
      <c r="H4" s="87" t="inlineStr">
        <is>
          <t>MaBer</t>
        </is>
      </c>
      <c r="I4" s="98" t="n"/>
      <c r="J4" s="87" t="n">
        <v>67.5</v>
      </c>
      <c r="K4" s="98" t="n"/>
      <c r="L4" s="29" t="n">
        <v>0</v>
      </c>
    </row>
    <row r="5">
      <c r="B5" s="57" t="inlineStr">
        <is>
          <t>E-post:</t>
        </is>
      </c>
      <c r="C5" s="80" t="n"/>
      <c r="D5" s="97" t="n"/>
      <c r="E5" s="98" t="n"/>
      <c r="H5" s="87" t="inlineStr">
        <is>
          <t>StatMät</t>
        </is>
      </c>
      <c r="I5" s="98" t="n"/>
      <c r="J5" s="87" t="n">
        <v>12</v>
      </c>
      <c r="K5" s="98" t="n"/>
      <c r="L5" s="29" t="n">
        <v>0</v>
      </c>
    </row>
    <row r="6">
      <c r="B6" s="57" t="inlineStr">
        <is>
          <t>Började på TF (Termin, år och klass):</t>
        </is>
      </c>
      <c r="C6" s="80" t="inlineStr">
        <is>
          <t>HT</t>
        </is>
      </c>
      <c r="D6" s="55" t="n">
        <v>2019</v>
      </c>
      <c r="E6" s="80" t="inlineStr">
        <is>
          <t>F19</t>
        </is>
      </c>
      <c r="H6" s="87" t="inlineStr">
        <is>
          <t>FyT</t>
        </is>
      </c>
      <c r="I6" s="98" t="n"/>
      <c r="J6" s="87" t="n">
        <v>60</v>
      </c>
      <c r="K6" s="98" t="n"/>
      <c r="L6" s="29" t="n">
        <v>0</v>
      </c>
    </row>
    <row r="7" ht="15" customHeight="1" s="59">
      <c r="B7" s="5" t="inlineStr">
        <is>
          <t>Anledning till individuell studieplan:</t>
        </is>
      </c>
      <c r="C7" s="88" t="inlineStr">
        <is>
          <t>Välj ett alternativ. För annan anledning välj den tomma och fyll i.</t>
        </is>
      </c>
      <c r="D7" s="44" t="n"/>
      <c r="E7" s="99" t="n"/>
      <c r="H7" s="87" t="inlineStr">
        <is>
          <t>Aing</t>
        </is>
      </c>
      <c r="I7" s="98" t="n"/>
      <c r="J7" s="87" t="n">
        <v>52.5</v>
      </c>
      <c r="K7" s="98" t="n"/>
      <c r="L7" s="29" t="n">
        <v>0</v>
      </c>
    </row>
    <row r="8">
      <c r="C8" s="100" t="n"/>
      <c r="E8" s="101" t="n"/>
      <c r="H8" s="87" t="inlineStr">
        <is>
          <t>Prof</t>
        </is>
      </c>
      <c r="I8" s="98" t="n"/>
      <c r="J8" s="87" t="n">
        <v>45</v>
      </c>
      <c r="K8" s="98" t="n"/>
      <c r="L8" s="29" t="n">
        <v>0</v>
      </c>
    </row>
    <row r="9">
      <c r="C9" s="102" t="n"/>
      <c r="D9" s="96" t="n"/>
      <c r="E9" s="103" t="n"/>
      <c r="H9" s="87" t="inlineStr">
        <is>
          <t>Examensarbete</t>
        </is>
      </c>
      <c r="I9" s="98" t="n"/>
      <c r="J9" s="87" t="n">
        <v>30</v>
      </c>
      <c r="K9" s="98" t="n"/>
      <c r="L9" s="29" t="n">
        <v>0</v>
      </c>
    </row>
    <row r="10">
      <c r="A10" s="40" t="n"/>
      <c r="C10" s="25" t="n"/>
      <c r="D10" s="25" t="n"/>
      <c r="E10" s="25" t="n"/>
      <c r="H10" s="87" t="inlineStr">
        <is>
          <t>PL</t>
        </is>
      </c>
      <c r="I10" s="98" t="n"/>
      <c r="J10" s="87" t="n">
        <v>15</v>
      </c>
      <c r="K10" s="98" t="n"/>
      <c r="L10" s="29" t="n">
        <v>0</v>
      </c>
    </row>
    <row r="11">
      <c r="A11" s="40" t="n"/>
      <c r="H11" s="87" t="inlineStr">
        <is>
          <t>PaN</t>
        </is>
      </c>
      <c r="I11" s="98" t="n"/>
      <c r="J11" s="104" t="n">
        <v>0</v>
      </c>
      <c r="K11" s="98" t="n"/>
      <c r="L11" s="29" t="n">
        <v>0</v>
      </c>
    </row>
    <row r="12" s="59">
      <c r="A12" s="40" t="n"/>
      <c r="H12" s="87" t="inlineStr">
        <is>
          <t>PaSam</t>
        </is>
      </c>
      <c r="I12" s="98" t="n"/>
      <c r="J12" s="104" t="n">
        <v>0</v>
      </c>
      <c r="K12" s="98" t="n"/>
      <c r="L12" s="29" t="n">
        <v>0</v>
      </c>
      <c r="Q12" s="57" t="n"/>
      <c r="R12" s="57" t="n"/>
      <c r="S12" s="57" t="n"/>
      <c r="T12" s="57" t="n"/>
    </row>
    <row r="13" s="59">
      <c r="A13" s="40" t="n"/>
      <c r="H13" s="87" t="inlineStr">
        <is>
          <t>PaStor</t>
        </is>
      </c>
      <c r="I13" s="98" t="n"/>
      <c r="J13" s="104" t="n">
        <v>0</v>
      </c>
      <c r="K13" s="98" t="n"/>
      <c r="L13" s="29" t="n">
        <v>0</v>
      </c>
    </row>
    <row r="14">
      <c r="A14" s="40" t="n"/>
      <c r="H14" s="87" t="inlineStr">
        <is>
          <t>PaTot</t>
        </is>
      </c>
      <c r="I14" s="98" t="n"/>
      <c r="J14" s="104" t="n">
        <v>0</v>
      </c>
      <c r="K14" s="98" t="n"/>
      <c r="L14" s="29" t="n">
        <v>0</v>
      </c>
    </row>
    <row r="15" s="59">
      <c r="A15" s="40" t="n"/>
      <c r="H15" s="87" t="inlineStr">
        <is>
          <t>Hut</t>
        </is>
      </c>
      <c r="I15" s="98" t="n"/>
      <c r="J15" s="104" t="n">
        <v>0</v>
      </c>
      <c r="K15" s="98" t="n"/>
      <c r="L15" s="29" t="n">
        <v>0</v>
      </c>
    </row>
    <row r="16" s="59">
      <c r="A16" s="40" t="n"/>
      <c r="H16" s="87" t="inlineStr">
        <is>
          <t>Data</t>
        </is>
      </c>
      <c r="I16" s="98" t="n"/>
      <c r="J16" s="104" t="n">
        <v>0</v>
      </c>
      <c r="K16" s="98" t="n"/>
      <c r="L16" s="29" t="n">
        <v>0</v>
      </c>
    </row>
    <row r="17">
      <c r="A17" s="40" t="n"/>
      <c r="H17" s="87" t="inlineStr">
        <is>
          <t>Avn</t>
        </is>
      </c>
      <c r="I17" s="98" t="n"/>
      <c r="J17" s="87" t="n">
        <v>0</v>
      </c>
      <c r="K17" s="98" t="n"/>
      <c r="L17" s="29" t="n">
        <v>0</v>
      </c>
      <c r="N17" t="inlineStr">
        <is>
          <t xml:space="preserve">  </t>
        </is>
      </c>
    </row>
    <row r="18">
      <c r="A18" s="40" t="n"/>
      <c r="H18" s="87" t="inlineStr">
        <is>
          <t>Fria kurser</t>
        </is>
      </c>
      <c r="I18" s="98" t="n"/>
      <c r="J18" s="87" t="inlineStr">
        <is>
          <t>30&gt;</t>
        </is>
      </c>
      <c r="K18" s="98" t="n"/>
      <c r="L18" s="29" t="n">
        <v>0</v>
      </c>
    </row>
    <row r="19">
      <c r="A19" s="40" t="n"/>
      <c r="V19" s="66" t="n"/>
    </row>
    <row r="20">
      <c r="A20" s="40" t="n"/>
      <c r="G20" s="105" t="inlineStr">
        <is>
          <t>Högskolepoäng (hp)</t>
        </is>
      </c>
      <c r="H20" s="97" t="n"/>
      <c r="I20" s="97" t="n"/>
      <c r="J20" s="97" t="n"/>
      <c r="K20" s="97" t="n"/>
      <c r="L20" s="97" t="n"/>
      <c r="M20" s="97" t="n"/>
      <c r="N20" s="97" t="n"/>
      <c r="O20" s="97" t="n"/>
      <c r="P20" s="97" t="n"/>
      <c r="Q20" s="97" t="n"/>
      <c r="R20" s="97" t="n"/>
      <c r="S20" s="97" t="n"/>
      <c r="T20" s="98" t="n"/>
      <c r="U20" s="66" t="n"/>
      <c r="V20" s="66" t="n"/>
      <c r="W20" s="66" t="n"/>
      <c r="X20" s="66" t="n"/>
      <c r="Y20" s="66" t="n"/>
      <c r="Z20" s="66" t="n"/>
      <c r="AA20" s="66" t="n"/>
      <c r="AB20" s="66" t="n"/>
      <c r="AC20" s="66" t="n"/>
    </row>
    <row r="21">
      <c r="A21" s="40" t="n"/>
      <c r="G21" s="66" t="n"/>
      <c r="H21" s="105" t="inlineStr">
        <is>
          <t>Varav (hp)…</t>
        </is>
      </c>
      <c r="I21" s="97" t="n"/>
      <c r="J21" s="97" t="n"/>
      <c r="K21" s="97" t="n"/>
      <c r="L21" s="97" t="n"/>
      <c r="M21" s="97" t="n"/>
      <c r="N21" s="97" t="n"/>
      <c r="O21" s="97" t="n"/>
      <c r="P21" s="97" t="n"/>
      <c r="Q21" s="97" t="n"/>
      <c r="R21" s="97" t="n"/>
      <c r="S21" s="97" t="n"/>
      <c r="T21" s="98" t="n"/>
      <c r="U21" s="66" t="n"/>
      <c r="V21" s="66" t="n"/>
      <c r="W21" s="66" t="n"/>
      <c r="X21" s="66" t="n"/>
      <c r="Y21" s="66" t="n"/>
      <c r="Z21" s="66" t="n"/>
      <c r="AA21" s="66" t="n"/>
      <c r="AB21" s="66" t="n"/>
      <c r="AC21" s="66" t="n"/>
    </row>
    <row r="22">
      <c r="A22" s="40" t="n"/>
      <c r="H22" s="106" t="inlineStr">
        <is>
          <t>Baskurser (hp)</t>
        </is>
      </c>
      <c r="I22" s="44" t="n"/>
      <c r="J22" s="99" t="n"/>
      <c r="K22" s="106" t="inlineStr">
        <is>
          <t>Övriga kurser</t>
        </is>
      </c>
      <c r="L22" s="99" t="n"/>
      <c r="M22" s="106" t="inlineStr">
        <is>
          <t>Övrikga krav</t>
        </is>
      </c>
      <c r="N22" s="44" t="n"/>
      <c r="O22" s="44" t="n"/>
      <c r="P22" s="44" t="n"/>
      <c r="Q22" s="44" t="n"/>
      <c r="R22" s="44" t="n"/>
      <c r="S22" s="44" t="n"/>
      <c r="T22" s="99" t="n"/>
      <c r="U22" s="66" t="n"/>
      <c r="V22" s="66" t="n"/>
      <c r="W22" s="66" t="n"/>
      <c r="X22" s="66" t="n"/>
      <c r="Y22" s="66" t="n"/>
      <c r="Z22" s="66" t="n"/>
      <c r="AA22" s="66" t="n"/>
      <c r="AB22" s="66" t="n"/>
    </row>
    <row r="23">
      <c r="A23" s="43" t="inlineStr">
        <is>
          <t>1.</t>
        </is>
      </c>
      <c r="B23" s="44" t="inlineStr">
        <is>
          <t>2.</t>
        </is>
      </c>
      <c r="C23" s="44" t="inlineStr">
        <is>
          <t>3.</t>
        </is>
      </c>
      <c r="D23" s="44" t="inlineStr">
        <is>
          <t>4.</t>
        </is>
      </c>
      <c r="E23" s="44" t="inlineStr">
        <is>
          <t>5.</t>
        </is>
      </c>
      <c r="F23" s="44" t="inlineStr">
        <is>
          <t>6.</t>
        </is>
      </c>
      <c r="G23" s="45" t="inlineStr">
        <is>
          <t>7.</t>
        </is>
      </c>
      <c r="H23" s="45" t="inlineStr">
        <is>
          <t>8.</t>
        </is>
      </c>
      <c r="I23" s="45" t="inlineStr">
        <is>
          <t>9.</t>
        </is>
      </c>
      <c r="J23" s="45" t="inlineStr">
        <is>
          <t>10.</t>
        </is>
      </c>
      <c r="K23" s="45" t="inlineStr">
        <is>
          <t>11.</t>
        </is>
      </c>
      <c r="L23" s="45" t="inlineStr">
        <is>
          <t>12.</t>
        </is>
      </c>
      <c r="M23" s="45" t="inlineStr">
        <is>
          <t>13.</t>
        </is>
      </c>
      <c r="N23" s="45" t="inlineStr">
        <is>
          <t>13.1</t>
        </is>
      </c>
      <c r="O23" s="45" t="inlineStr">
        <is>
          <t>13.2</t>
        </is>
      </c>
      <c r="P23" s="45" t="inlineStr">
        <is>
          <t>13.3</t>
        </is>
      </c>
      <c r="Q23" s="45" t="inlineStr">
        <is>
          <t>13.4</t>
        </is>
      </c>
      <c r="R23" s="45" t="inlineStr">
        <is>
          <t>14.</t>
        </is>
      </c>
      <c r="S23" s="45" t="inlineStr">
        <is>
          <t>15.</t>
        </is>
      </c>
      <c r="T23" s="46" t="inlineStr">
        <is>
          <t>16.</t>
        </is>
      </c>
    </row>
    <row r="24">
      <c r="A24" s="47" t="inlineStr">
        <is>
          <t>checkbox</t>
        </is>
      </c>
      <c r="B24" s="48" t="inlineStr">
        <is>
          <t>Kursnamn</t>
        </is>
      </c>
      <c r="C24" s="48" t="inlineStr">
        <is>
          <t>Kurskod</t>
        </is>
      </c>
      <c r="D24" s="48" t="inlineStr">
        <is>
          <t>Datum (ååååmmdd)</t>
        </is>
      </c>
      <c r="E24" s="48" t="inlineStr">
        <is>
          <t>Studentens kommentar</t>
        </is>
      </c>
      <c r="F24" s="48" t="inlineStr">
        <is>
          <t>Programledningens kommentar</t>
        </is>
      </c>
      <c r="G24" s="48" t="inlineStr">
        <is>
          <t>Hp</t>
        </is>
      </c>
      <c r="H24" s="48" t="inlineStr">
        <is>
          <t>MaBer</t>
        </is>
      </c>
      <c r="I24" s="48" t="inlineStr">
        <is>
          <t>StatMät</t>
        </is>
      </c>
      <c r="J24" s="48" t="inlineStr">
        <is>
          <t>FyT</t>
        </is>
      </c>
      <c r="K24" s="48" t="inlineStr">
        <is>
          <t>Aing</t>
        </is>
      </c>
      <c r="L24" s="48" t="inlineStr">
        <is>
          <t>Prof</t>
        </is>
      </c>
      <c r="M24" s="48" t="inlineStr">
        <is>
          <t>PL</t>
        </is>
      </c>
      <c r="N24" s="48" t="inlineStr">
        <is>
          <t>PaN</t>
        </is>
      </c>
      <c r="O24" s="48" t="inlineStr">
        <is>
          <t>PaSam</t>
        </is>
      </c>
      <c r="P24" s="48" t="inlineStr">
        <is>
          <t>PaStor</t>
        </is>
      </c>
      <c r="Q24" s="48" t="inlineStr">
        <is>
          <t>PaTot</t>
        </is>
      </c>
      <c r="R24" s="48" t="inlineStr">
        <is>
          <t>Hut</t>
        </is>
      </c>
      <c r="S24" s="48" t="inlineStr">
        <is>
          <t>Data</t>
        </is>
      </c>
      <c r="T24" s="49" t="inlineStr">
        <is>
          <t>Avn</t>
        </is>
      </c>
    </row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</sheetData>
  <mergeCells count="46">
    <mergeCell ref="C7:E9"/>
    <mergeCell ref="J16:K16"/>
    <mergeCell ref="J17:K17"/>
    <mergeCell ref="H1:L1"/>
    <mergeCell ref="H18:I18"/>
    <mergeCell ref="J18:K18"/>
    <mergeCell ref="H16:I16"/>
    <mergeCell ref="H17:I17"/>
    <mergeCell ref="J2:K2"/>
    <mergeCell ref="J3:K3"/>
    <mergeCell ref="J4:K4"/>
    <mergeCell ref="J5:K5"/>
    <mergeCell ref="J6:K6"/>
    <mergeCell ref="J7:K7"/>
    <mergeCell ref="J8:K8"/>
    <mergeCell ref="J9:K9"/>
    <mergeCell ref="J13:K13"/>
    <mergeCell ref="J14:K14"/>
    <mergeCell ref="H2:I2"/>
    <mergeCell ref="H3:I3"/>
    <mergeCell ref="H4:I4"/>
    <mergeCell ref="H5:I5"/>
    <mergeCell ref="H6:I6"/>
    <mergeCell ref="H7:I7"/>
    <mergeCell ref="H8:I8"/>
    <mergeCell ref="H9:I9"/>
    <mergeCell ref="H10:I10"/>
    <mergeCell ref="H11:I11"/>
    <mergeCell ref="H12:I12"/>
    <mergeCell ref="H13:I13"/>
    <mergeCell ref="K22:L22"/>
    <mergeCell ref="H21:T21"/>
    <mergeCell ref="M22:T22"/>
    <mergeCell ref="G20:T20"/>
    <mergeCell ref="C1:E1"/>
    <mergeCell ref="C2:E2"/>
    <mergeCell ref="C3:E3"/>
    <mergeCell ref="C4:E4"/>
    <mergeCell ref="H22:J22"/>
    <mergeCell ref="H14:I14"/>
    <mergeCell ref="H15:I15"/>
    <mergeCell ref="J15:K15"/>
    <mergeCell ref="C5:E5"/>
    <mergeCell ref="J11:K11"/>
    <mergeCell ref="J12:K12"/>
    <mergeCell ref="J10:K10"/>
  </mergeCell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Blad6">
    <outlinePr summaryBelow="1" summaryRight="1"/>
    <pageSetUpPr/>
  </sheetPr>
  <dimension ref="A2:U100"/>
  <sheetViews>
    <sheetView zoomScale="112" zoomScaleNormal="100" workbookViewId="0">
      <selection activeCell="B36" sqref="B36"/>
    </sheetView>
  </sheetViews>
  <sheetFormatPr baseColWidth="8" defaultColWidth="8.85546875" defaultRowHeight="15"/>
  <cols>
    <col width="9.28515625" bestFit="1" customWidth="1" style="40" min="1" max="1"/>
    <col width="47.28515625" bestFit="1" customWidth="1" style="59" min="2" max="2"/>
    <col width="8.140625" bestFit="1" customWidth="1" style="59" min="3" max="3"/>
    <col width="18.7109375" bestFit="1" customWidth="1" style="40" min="4" max="4"/>
    <col width="22.28515625" bestFit="1" customWidth="1" style="59" min="5" max="5"/>
    <col width="29.7109375" bestFit="1" customWidth="1" style="59" min="6" max="6"/>
    <col width="5" bestFit="1" customWidth="1" style="59" min="7" max="7"/>
    <col width="6.85546875" bestFit="1" customWidth="1" style="59" min="8" max="8"/>
    <col width="8" bestFit="1" customWidth="1" style="59" min="9" max="9"/>
    <col width="4" bestFit="1" customWidth="1" style="59" min="10" max="10"/>
    <col width="6.140625" customWidth="1" style="59" min="11" max="11"/>
    <col width="5.28515625" customWidth="1" style="59" min="12" max="12"/>
    <col width="4.28515625" customWidth="1" style="59" min="13" max="13"/>
    <col width="4.42578125" bestFit="1" customWidth="1" style="59" min="14" max="14"/>
    <col width="6.85546875" bestFit="1" customWidth="1" style="59" min="15" max="15"/>
    <col width="6.7109375" bestFit="1" customWidth="1" style="59" min="16" max="16"/>
    <col width="6" bestFit="1" customWidth="1" style="59" min="17" max="17"/>
    <col width="4.140625" bestFit="1" customWidth="1" style="59" min="18" max="18"/>
    <col width="5" bestFit="1" customWidth="1" style="59" min="19" max="19"/>
    <col width="4.42578125" bestFit="1" customWidth="1" style="59" min="20" max="20"/>
  </cols>
  <sheetData>
    <row r="2">
      <c r="G2" s="105">
        <f>Sammanfattning!G20</f>
        <v/>
      </c>
      <c r="H2" s="97" t="n"/>
      <c r="I2" s="97" t="n"/>
      <c r="J2" s="97" t="n"/>
      <c r="K2" s="97" t="n"/>
      <c r="L2" s="97" t="n"/>
      <c r="M2" s="97" t="n"/>
      <c r="N2" s="97" t="n"/>
      <c r="O2" s="97" t="n"/>
      <c r="P2" s="97" t="n"/>
      <c r="Q2" s="97" t="n"/>
      <c r="R2" s="97" t="n"/>
      <c r="S2" s="97" t="n"/>
      <c r="T2" s="98" t="n"/>
    </row>
    <row r="3">
      <c r="G3" s="66" t="n"/>
      <c r="H3" s="105">
        <f>Sammanfattning!H21</f>
        <v/>
      </c>
      <c r="I3" s="97" t="n"/>
      <c r="J3" s="97" t="n"/>
      <c r="K3" s="97" t="n"/>
      <c r="L3" s="97" t="n"/>
      <c r="M3" s="97" t="n"/>
      <c r="N3" s="97" t="n"/>
      <c r="O3" s="97" t="n"/>
      <c r="P3" s="97" t="n"/>
      <c r="Q3" s="97" t="n"/>
      <c r="R3" s="97" t="n"/>
      <c r="S3" s="97" t="n"/>
      <c r="T3" s="98" t="n"/>
    </row>
    <row r="4">
      <c r="H4" s="106">
        <f>Sammanfattning!H22</f>
        <v/>
      </c>
      <c r="I4" s="44" t="n"/>
      <c r="J4" s="99" t="n"/>
      <c r="K4" s="106">
        <f>Sammanfattning!K22</f>
        <v/>
      </c>
      <c r="L4" s="99" t="n"/>
      <c r="M4" s="106">
        <f>Sammanfattning!M22</f>
        <v/>
      </c>
      <c r="N4" s="44" t="n"/>
      <c r="O4" s="44" t="n"/>
      <c r="P4" s="44" t="n"/>
      <c r="Q4" s="44" t="n"/>
      <c r="R4" s="44" t="n"/>
      <c r="S4" s="44" t="n"/>
      <c r="T4" s="99" t="n"/>
    </row>
    <row r="5">
      <c r="A5" s="22">
        <f>Sammanfattning!A23</f>
        <v/>
      </c>
      <c r="B5" s="20">
        <f>Sammanfattning!B23</f>
        <v/>
      </c>
      <c r="C5" s="20">
        <f>Sammanfattning!C23</f>
        <v/>
      </c>
      <c r="D5" s="20">
        <f>Sammanfattning!D23</f>
        <v/>
      </c>
      <c r="E5" s="20">
        <f>Sammanfattning!E23</f>
        <v/>
      </c>
      <c r="F5" s="20">
        <f>Sammanfattning!F23</f>
        <v/>
      </c>
      <c r="G5" s="20">
        <f>Sammanfattning!G23</f>
        <v/>
      </c>
      <c r="H5" s="20">
        <f>Sammanfattning!H23</f>
        <v/>
      </c>
      <c r="I5" s="20">
        <f>Sammanfattning!I23</f>
        <v/>
      </c>
      <c r="J5" s="20">
        <f>Sammanfattning!J23</f>
        <v/>
      </c>
      <c r="K5" s="20">
        <f>Sammanfattning!K23</f>
        <v/>
      </c>
      <c r="L5" s="20">
        <f>Sammanfattning!L23</f>
        <v/>
      </c>
      <c r="M5" s="20">
        <f>Sammanfattning!M23</f>
        <v/>
      </c>
      <c r="N5" s="20">
        <f>Sammanfattning!N23</f>
        <v/>
      </c>
      <c r="O5" s="20">
        <f>Sammanfattning!O23</f>
        <v/>
      </c>
      <c r="P5" s="20">
        <f>Sammanfattning!P23</f>
        <v/>
      </c>
      <c r="Q5" s="20">
        <f>Sammanfattning!Q23</f>
        <v/>
      </c>
      <c r="R5" s="20">
        <f>Sammanfattning!R23</f>
        <v/>
      </c>
      <c r="S5" s="20">
        <f>Sammanfattning!S23</f>
        <v/>
      </c>
      <c r="T5" s="21">
        <f>Sammanfattning!T23</f>
        <v/>
      </c>
    </row>
    <row r="6">
      <c r="A6" s="23">
        <f>Sammanfattning!A24</f>
        <v/>
      </c>
      <c r="B6" s="36">
        <f>Sammanfattning!B24</f>
        <v/>
      </c>
      <c r="C6" s="36">
        <f>Sammanfattning!C24</f>
        <v/>
      </c>
      <c r="D6" s="36">
        <f>Sammanfattning!D24</f>
        <v/>
      </c>
      <c r="E6" s="36">
        <f>Sammanfattning!E24</f>
        <v/>
      </c>
      <c r="F6" s="36">
        <f>Sammanfattning!F24</f>
        <v/>
      </c>
      <c r="G6" s="36">
        <f>Sammanfattning!G24</f>
        <v/>
      </c>
      <c r="H6" s="36">
        <f>Sammanfattning!H24</f>
        <v/>
      </c>
      <c r="I6" s="36">
        <f>Sammanfattning!I24</f>
        <v/>
      </c>
      <c r="J6" s="36">
        <f>Sammanfattning!J24</f>
        <v/>
      </c>
      <c r="K6" s="36">
        <f>Sammanfattning!K24</f>
        <v/>
      </c>
      <c r="L6" s="36">
        <f>Sammanfattning!L24</f>
        <v/>
      </c>
      <c r="M6" s="36">
        <f>Sammanfattning!M24</f>
        <v/>
      </c>
      <c r="N6" s="36">
        <f>Sammanfattning!N24</f>
        <v/>
      </c>
      <c r="O6" s="36">
        <f>Sammanfattning!O24</f>
        <v/>
      </c>
      <c r="P6" s="36">
        <f>Sammanfattning!P24</f>
        <v/>
      </c>
      <c r="Q6" s="36">
        <f>Sammanfattning!Q24</f>
        <v/>
      </c>
      <c r="R6" s="36">
        <f>Sammanfattning!R24</f>
        <v/>
      </c>
      <c r="S6" s="36">
        <f>Sammanfattning!S24</f>
        <v/>
      </c>
      <c r="T6" s="37">
        <f>Sammanfattning!T24</f>
        <v/>
      </c>
    </row>
    <row r="7">
      <c r="A7" s="64" t="n"/>
      <c r="B7" s="31" t="inlineStr">
        <is>
          <t xml:space="preserve">Matematiska och beräkningsvetenskapliga verktyg </t>
        </is>
      </c>
      <c r="C7" s="31" t="n"/>
      <c r="D7" s="65" t="n"/>
      <c r="E7" s="65" t="n"/>
      <c r="F7" s="65" t="n"/>
      <c r="G7" s="35" t="n"/>
      <c r="H7" s="35" t="n"/>
      <c r="I7" s="35" t="n"/>
      <c r="J7" s="35" t="n"/>
      <c r="K7" s="35" t="n"/>
      <c r="L7" s="35" t="n"/>
      <c r="M7" s="35" t="n"/>
      <c r="N7" s="35" t="n"/>
      <c r="O7" s="35" t="n"/>
      <c r="P7" s="35" t="n"/>
      <c r="Q7" s="35" t="n"/>
      <c r="R7" s="35" t="n"/>
      <c r="S7" s="35" t="n"/>
      <c r="T7" s="35" t="n"/>
    </row>
    <row r="8">
      <c r="A8" s="107" t="inlineStr">
        <is>
          <t>x</t>
        </is>
      </c>
      <c r="B8" t="inlineStr">
        <is>
          <t>Programmeringsteknik med C och Matlab</t>
        </is>
      </c>
      <c r="C8" t="inlineStr">
        <is>
          <t>5DV157</t>
        </is>
      </c>
      <c r="D8" s="66" t="n"/>
      <c r="E8" s="17" t="n"/>
      <c r="F8" s="18" t="n"/>
      <c r="G8" t="n">
        <v>7.5</v>
      </c>
      <c r="H8" t="n">
        <v>7.5</v>
      </c>
      <c r="I8" s="18" t="n"/>
      <c r="J8" s="18" t="n"/>
      <c r="K8" s="18" t="n"/>
      <c r="L8" s="18" t="n"/>
      <c r="M8" s="66" t="n"/>
      <c r="N8" s="66" t="n"/>
      <c r="O8" s="66" t="n"/>
      <c r="P8" s="66" t="n"/>
      <c r="Q8" s="66" t="n"/>
      <c r="R8" s="66" t="n"/>
      <c r="S8" s="66" t="n"/>
      <c r="T8" s="66" t="n"/>
    </row>
    <row r="9">
      <c r="A9" s="1" t="n"/>
      <c r="B9" t="inlineStr">
        <is>
          <t>Endimensionell analys 1</t>
        </is>
      </c>
      <c r="C9" t="inlineStr">
        <is>
          <t>5MA154</t>
        </is>
      </c>
      <c r="D9" t="n">
        <v>20191204</v>
      </c>
      <c r="G9" t="n">
        <v>7.5</v>
      </c>
      <c r="H9" t="n">
        <v>7.5</v>
      </c>
    </row>
    <row r="10">
      <c r="A10" s="107" t="inlineStr">
        <is>
          <t>x</t>
        </is>
      </c>
      <c r="B10" t="inlineStr">
        <is>
          <t>Endimensionell analys 2</t>
        </is>
      </c>
      <c r="C10" t="inlineStr">
        <is>
          <t>5MA164</t>
        </is>
      </c>
      <c r="D10" t="n">
        <v>20200116</v>
      </c>
      <c r="G10" t="n">
        <v>7.5</v>
      </c>
      <c r="H10" t="n">
        <v>7.5</v>
      </c>
    </row>
    <row r="11">
      <c r="A11" s="107" t="inlineStr">
        <is>
          <t>x</t>
        </is>
      </c>
      <c r="B11" t="inlineStr">
        <is>
          <t>Linjär Algebra</t>
        </is>
      </c>
      <c r="C11" t="inlineStr">
        <is>
          <t>5MA160</t>
        </is>
      </c>
      <c r="D11" t="n">
        <v>20170412</v>
      </c>
      <c r="G11" t="n">
        <v>7.5</v>
      </c>
      <c r="H11" t="n">
        <v>7.5</v>
      </c>
    </row>
    <row r="12">
      <c r="B12" t="inlineStr">
        <is>
          <t>Flervariabel analys</t>
        </is>
      </c>
      <c r="C12" t="inlineStr">
        <is>
          <t>5MA164</t>
        </is>
      </c>
      <c r="D12" t="n">
        <v>20170412</v>
      </c>
      <c r="G12" t="n">
        <v>7.5</v>
      </c>
      <c r="H12" t="n">
        <v>7.5</v>
      </c>
    </row>
    <row r="13">
      <c r="A13" s="107" t="inlineStr">
        <is>
          <t>x</t>
        </is>
      </c>
      <c r="B13" t="inlineStr">
        <is>
          <t>Fysikens matematiska metoder</t>
        </is>
      </c>
      <c r="C13" t="inlineStr">
        <is>
          <t>5MA122</t>
        </is>
      </c>
      <c r="D13" t="n">
        <v>20171012</v>
      </c>
      <c r="G13" t="n">
        <v>15</v>
      </c>
      <c r="H13" t="n">
        <v>15</v>
      </c>
    </row>
    <row r="14">
      <c r="A14" s="1" t="n"/>
      <c r="B14" t="inlineStr">
        <is>
          <t>Fysikaliska modellers matematik</t>
        </is>
      </c>
      <c r="C14" t="inlineStr">
        <is>
          <t>5FY031</t>
        </is>
      </c>
      <c r="D14" t="n">
        <v>20180903</v>
      </c>
      <c r="G14" t="n">
        <v>10.5</v>
      </c>
      <c r="H14" t="n">
        <v>10.5</v>
      </c>
    </row>
    <row r="15">
      <c r="B15" t="inlineStr">
        <is>
          <t>Teknisk beräkningsvetenskap I</t>
        </is>
      </c>
      <c r="C15" t="inlineStr">
        <is>
          <t>5DV154</t>
        </is>
      </c>
      <c r="D15" t="n">
        <v>20171123</v>
      </c>
      <c r="G15" t="n">
        <v>4.5</v>
      </c>
      <c r="H15" t="n">
        <v>4.5</v>
      </c>
    </row>
    <row r="16">
      <c r="A16" s="64" t="n"/>
      <c r="B16" s="31" t="inlineStr">
        <is>
          <t xml:space="preserve">Statistisk analys och mätvärdesbehandling </t>
        </is>
      </c>
      <c r="C16" s="54" t="n"/>
      <c r="D16" s="64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</row>
    <row r="17">
      <c r="B17" t="inlineStr">
        <is>
          <t>Statistik för tekniska fysiker</t>
        </is>
      </c>
      <c r="C17" t="inlineStr">
        <is>
          <t>5FY190</t>
        </is>
      </c>
      <c r="G17" t="n">
        <v>6</v>
      </c>
      <c r="I17" t="n">
        <v>6</v>
      </c>
    </row>
    <row r="18" s="59">
      <c r="A18" s="40" t="n"/>
      <c r="B18" t="inlineStr">
        <is>
          <t>Mätmetoder och strålningsdetektorer</t>
        </is>
      </c>
      <c r="C18" t="inlineStr">
        <is>
          <t>5RA002</t>
        </is>
      </c>
      <c r="D18" s="40" t="n"/>
      <c r="G18" t="n">
        <v>7.5</v>
      </c>
      <c r="I18" t="n">
        <v>7.5</v>
      </c>
    </row>
    <row r="19">
      <c r="A19" s="107" t="inlineStr">
        <is>
          <t>x</t>
        </is>
      </c>
      <c r="B19" t="inlineStr">
        <is>
          <t>Fysikalisk mätteknik</t>
        </is>
      </c>
      <c r="C19" t="inlineStr">
        <is>
          <t>5MS068</t>
        </is>
      </c>
      <c r="G19" t="n">
        <v>7.5</v>
      </c>
      <c r="I19" t="n">
        <v>7.5</v>
      </c>
    </row>
    <row r="20">
      <c r="A20" s="64" t="n"/>
      <c r="B20" s="31" t="inlineStr">
        <is>
          <t xml:space="preserve">Fysikalisk teori med tillämpningar </t>
        </is>
      </c>
      <c r="C20" s="65" t="n"/>
      <c r="D20" s="64" t="n"/>
      <c r="E20" s="65" t="n"/>
      <c r="F20" s="65" t="n"/>
      <c r="G20" s="65" t="n"/>
      <c r="H20" s="65" t="n"/>
      <c r="I20" s="65" t="n"/>
      <c r="J20" s="65" t="n"/>
      <c r="K20" s="65" t="n"/>
      <c r="L20" s="65" t="n"/>
      <c r="M20" s="65" t="n"/>
      <c r="N20" s="65" t="n"/>
      <c r="O20" s="65" t="n"/>
      <c r="P20" s="65" t="n"/>
      <c r="Q20" s="65" t="n"/>
      <c r="R20" s="65" t="n"/>
      <c r="S20" s="65" t="n"/>
      <c r="T20" s="65" t="n"/>
    </row>
    <row r="21">
      <c r="A21" s="107" t="inlineStr">
        <is>
          <t>x</t>
        </is>
      </c>
      <c r="B21" t="inlineStr">
        <is>
          <t>Klassisk mekanik</t>
        </is>
      </c>
      <c r="C21" t="inlineStr">
        <is>
          <t>5FY041</t>
        </is>
      </c>
      <c r="G21" t="n">
        <v>9</v>
      </c>
      <c r="J21" t="n">
        <v>9</v>
      </c>
    </row>
    <row r="22">
      <c r="B22" t="inlineStr">
        <is>
          <t>Klassisk mekanik A</t>
        </is>
      </c>
      <c r="G22" t="n">
        <v>7.5</v>
      </c>
      <c r="J22" t="n">
        <v>7.5</v>
      </c>
    </row>
    <row r="23">
      <c r="B23" t="inlineStr">
        <is>
          <t>Speciell relativitetsteori</t>
        </is>
      </c>
      <c r="G23" t="n">
        <v>1.5</v>
      </c>
      <c r="J23" t="n">
        <v>1.5</v>
      </c>
    </row>
    <row r="24">
      <c r="B24" t="inlineStr">
        <is>
          <t>Modern fysik</t>
        </is>
      </c>
      <c r="G24" t="n">
        <v>4.5</v>
      </c>
      <c r="J24" t="n">
        <v>4.5</v>
      </c>
    </row>
    <row r="25">
      <c r="B25" t="inlineStr">
        <is>
          <t xml:space="preserve">Vågfysik och optik </t>
        </is>
      </c>
      <c r="G25" t="n">
        <v>6</v>
      </c>
      <c r="J25" t="n">
        <v>6</v>
      </c>
    </row>
    <row r="26">
      <c r="A26" s="107" t="inlineStr">
        <is>
          <t>x</t>
        </is>
      </c>
      <c r="B26" t="inlineStr">
        <is>
          <t>Elektromagnetismens grunder</t>
        </is>
      </c>
      <c r="G26" t="n">
        <v>6</v>
      </c>
      <c r="J26" t="n">
        <v>6</v>
      </c>
    </row>
    <row r="27">
      <c r="A27" s="107" t="inlineStr">
        <is>
          <t>x</t>
        </is>
      </c>
      <c r="B27" t="inlineStr">
        <is>
          <t>Analytisk mekanik</t>
        </is>
      </c>
      <c r="G27" t="n">
        <v>6</v>
      </c>
      <c r="J27" t="n">
        <v>6</v>
      </c>
    </row>
    <row r="28">
      <c r="B28" t="inlineStr">
        <is>
          <t>Kärnfysik</t>
        </is>
      </c>
      <c r="G28" t="n">
        <v>7.5</v>
      </c>
      <c r="J28" t="n">
        <v>7.5</v>
      </c>
    </row>
    <row r="29">
      <c r="A29" s="107" t="inlineStr">
        <is>
          <t>x</t>
        </is>
      </c>
      <c r="B29" t="inlineStr">
        <is>
          <t>Elektrodynamik</t>
        </is>
      </c>
      <c r="G29" t="n">
        <v>6</v>
      </c>
      <c r="J29" t="n">
        <v>6</v>
      </c>
    </row>
    <row r="30" customFormat="1" s="40">
      <c r="A30" s="107" t="inlineStr">
        <is>
          <t>x</t>
        </is>
      </c>
      <c r="B30" t="inlineStr">
        <is>
          <t>Kvantmekanik 1</t>
        </is>
      </c>
      <c r="G30" s="57" t="n">
        <v>6</v>
      </c>
      <c r="J30" s="40" t="n">
        <v>6</v>
      </c>
    </row>
    <row r="31">
      <c r="B31" s="61" t="inlineStr">
        <is>
          <t>Kvantmekanikens grunder</t>
        </is>
      </c>
      <c r="G31" t="n">
        <v>7.5</v>
      </c>
      <c r="J31" t="n">
        <v>7.5</v>
      </c>
    </row>
    <row r="32">
      <c r="A32" s="107" t="inlineStr">
        <is>
          <t>x</t>
        </is>
      </c>
      <c r="B32" t="inlineStr">
        <is>
          <t>Termodynamik</t>
        </is>
      </c>
      <c r="G32" t="n">
        <v>6</v>
      </c>
      <c r="J32" t="n">
        <v>6</v>
      </c>
    </row>
    <row r="33">
      <c r="B33" t="inlineStr">
        <is>
          <t>Statistisk fysik 1</t>
        </is>
      </c>
      <c r="G33" t="n">
        <v>4.5</v>
      </c>
      <c r="J33" t="n">
        <v>4.5</v>
      </c>
    </row>
    <row r="34">
      <c r="B34" t="inlineStr">
        <is>
          <t>Fasta tillståndets fysik</t>
        </is>
      </c>
      <c r="G34" t="n">
        <v>7.5</v>
      </c>
      <c r="J34" t="n">
        <v>7.5</v>
      </c>
    </row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</sheetData>
  <mergeCells count="5">
    <mergeCell ref="G2:T2"/>
    <mergeCell ref="H3:T3"/>
    <mergeCell ref="H4:J4"/>
    <mergeCell ref="K4:L4"/>
    <mergeCell ref="M4:T4"/>
  </mergeCells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Blad7">
    <outlinePr summaryBelow="1" summaryRight="1"/>
    <pageSetUpPr/>
  </sheetPr>
  <dimension ref="A2:T227"/>
  <sheetViews>
    <sheetView zoomScale="85" zoomScaleNormal="85" workbookViewId="0">
      <selection activeCell="B28" sqref="B28"/>
    </sheetView>
  </sheetViews>
  <sheetFormatPr baseColWidth="8" defaultColWidth="8.85546875" defaultRowHeight="15"/>
  <cols>
    <col width="9.28515625" bestFit="1" customWidth="1" style="40" min="1" max="1"/>
    <col width="81.140625" customWidth="1" style="59" min="2" max="2"/>
    <col width="8.140625" bestFit="1" customWidth="1" style="40" min="3" max="3"/>
    <col width="18" customWidth="1" style="40" min="4" max="4"/>
    <col width="20.5703125" customWidth="1" style="59" min="5" max="5"/>
    <col width="27.42578125" customWidth="1" style="59" min="6" max="6"/>
    <col width="4.85546875" customWidth="1" style="59" min="7" max="7"/>
    <col width="6.85546875" bestFit="1" customWidth="1" style="59" min="8" max="8"/>
    <col width="8.140625" bestFit="1" customWidth="1" style="59" min="9" max="9"/>
    <col width="4" bestFit="1" customWidth="1" style="59" min="10" max="10"/>
    <col width="5.85546875" customWidth="1" style="59" min="11" max="11"/>
    <col width="4.7109375" bestFit="1" customWidth="1" style="59" min="12" max="12"/>
    <col width="4.28515625" customWidth="1" style="59" min="13" max="13"/>
    <col width="4.42578125" bestFit="1" customWidth="1" style="59" min="14" max="14"/>
    <col width="6.85546875" bestFit="1" customWidth="1" style="59" min="15" max="16"/>
    <col width="6.140625" bestFit="1" customWidth="1" style="59" min="17" max="17"/>
    <col width="4.42578125" bestFit="1" customWidth="1" style="59" min="18" max="18"/>
    <col width="5.140625" bestFit="1" customWidth="1" style="59" min="19" max="19"/>
    <col width="4.42578125" bestFit="1" customWidth="1" style="59" min="20" max="20"/>
    <col width="8.85546875" customWidth="1" style="59" min="21" max="16384"/>
  </cols>
  <sheetData>
    <row r="2">
      <c r="B2" t="inlineStr">
        <is>
          <t>Profilkurser</t>
        </is>
      </c>
      <c r="G2" s="105">
        <f>Sammanfattning!G20</f>
        <v/>
      </c>
      <c r="H2" s="97" t="n"/>
      <c r="I2" s="97" t="n"/>
      <c r="J2" s="97" t="n"/>
      <c r="K2" s="97" t="n"/>
      <c r="L2" s="97" t="n"/>
      <c r="M2" s="97" t="n"/>
      <c r="N2" s="97" t="n"/>
      <c r="O2" s="97" t="n"/>
      <c r="P2" s="97" t="n"/>
      <c r="Q2" s="97" t="n"/>
      <c r="R2" s="97" t="n"/>
      <c r="S2" s="97" t="n"/>
      <c r="T2" s="98" t="n"/>
    </row>
    <row r="3">
      <c r="G3" s="66" t="n"/>
      <c r="H3" s="105">
        <f>Sammanfattning!H21</f>
        <v/>
      </c>
      <c r="I3" s="97" t="n"/>
      <c r="J3" s="97" t="n"/>
      <c r="K3" s="97" t="n"/>
      <c r="L3" s="97" t="n"/>
      <c r="M3" s="97" t="n"/>
      <c r="N3" s="97" t="n"/>
      <c r="O3" s="97" t="n"/>
      <c r="P3" s="97" t="n"/>
      <c r="Q3" s="97" t="n"/>
      <c r="R3" s="97" t="n"/>
      <c r="S3" s="97" t="n"/>
      <c r="T3" s="98" t="n"/>
    </row>
    <row r="4">
      <c r="H4" s="106">
        <f>Sammanfattning!H22</f>
        <v/>
      </c>
      <c r="I4" s="44" t="n"/>
      <c r="J4" s="99" t="n"/>
      <c r="K4" s="106">
        <f>Sammanfattning!K22</f>
        <v/>
      </c>
      <c r="L4" s="99" t="n"/>
      <c r="M4" s="106">
        <f>Sammanfattning!M22</f>
        <v/>
      </c>
      <c r="N4" s="44" t="n"/>
      <c r="O4" s="44" t="n"/>
      <c r="P4" s="44" t="n"/>
      <c r="Q4" s="44" t="n"/>
      <c r="R4" s="44" t="n"/>
      <c r="S4" s="44" t="n"/>
      <c r="T4" s="99" t="n"/>
    </row>
    <row r="5">
      <c r="A5" s="22">
        <f>Sammanfattning!A23</f>
        <v/>
      </c>
      <c r="B5" s="20">
        <f>Sammanfattning!B23</f>
        <v/>
      </c>
      <c r="C5" s="20">
        <f>Sammanfattning!C23</f>
        <v/>
      </c>
      <c r="D5" s="20">
        <f>Sammanfattning!D23</f>
        <v/>
      </c>
      <c r="E5" s="20">
        <f>Sammanfattning!E23</f>
        <v/>
      </c>
      <c r="F5" s="20">
        <f>Sammanfattning!F23</f>
        <v/>
      </c>
      <c r="G5" s="20">
        <f>Sammanfattning!G23</f>
        <v/>
      </c>
      <c r="H5" s="20">
        <f>Sammanfattning!H23</f>
        <v/>
      </c>
      <c r="I5" s="20">
        <f>Sammanfattning!I23</f>
        <v/>
      </c>
      <c r="J5" s="20">
        <f>Sammanfattning!J23</f>
        <v/>
      </c>
      <c r="K5" s="20">
        <f>Sammanfattning!K23</f>
        <v/>
      </c>
      <c r="L5" s="20">
        <f>Sammanfattning!L23</f>
        <v/>
      </c>
      <c r="M5" s="20">
        <f>Sammanfattning!M23</f>
        <v/>
      </c>
      <c r="N5" s="20">
        <f>Sammanfattning!N23</f>
        <v/>
      </c>
      <c r="O5" s="20">
        <f>Sammanfattning!O23</f>
        <v/>
      </c>
      <c r="P5" s="20">
        <f>Sammanfattning!P23</f>
        <v/>
      </c>
      <c r="Q5" s="20">
        <f>Sammanfattning!Q23</f>
        <v/>
      </c>
      <c r="R5" s="20">
        <f>Sammanfattning!R23</f>
        <v/>
      </c>
      <c r="S5" s="20">
        <f>Sammanfattning!S23</f>
        <v/>
      </c>
      <c r="T5" s="21">
        <f>Sammanfattning!T23</f>
        <v/>
      </c>
    </row>
    <row r="6">
      <c r="A6" s="23">
        <f>Sammanfattning!A24</f>
        <v/>
      </c>
      <c r="B6" s="36">
        <f>Sammanfattning!B24</f>
        <v/>
      </c>
      <c r="C6" s="36">
        <f>Sammanfattning!C24</f>
        <v/>
      </c>
      <c r="D6" s="36">
        <f>Sammanfattning!D24</f>
        <v/>
      </c>
      <c r="E6" s="36">
        <f>Sammanfattning!E24</f>
        <v/>
      </c>
      <c r="F6" s="36">
        <f>Sammanfattning!F24</f>
        <v/>
      </c>
      <c r="G6" s="36">
        <f>Sammanfattning!G24</f>
        <v/>
      </c>
      <c r="H6" s="36">
        <f>Sammanfattning!H24</f>
        <v/>
      </c>
      <c r="I6" s="36">
        <f>Sammanfattning!I24</f>
        <v/>
      </c>
      <c r="J6" s="36">
        <f>Sammanfattning!J24</f>
        <v/>
      </c>
      <c r="K6" s="36">
        <f>Sammanfattning!K24</f>
        <v/>
      </c>
      <c r="L6" s="36">
        <f>Sammanfattning!L24</f>
        <v/>
      </c>
      <c r="M6" s="36">
        <f>Sammanfattning!M24</f>
        <v/>
      </c>
      <c r="N6" s="36">
        <f>Sammanfattning!N24</f>
        <v/>
      </c>
      <c r="O6" s="36">
        <f>Sammanfattning!O24</f>
        <v/>
      </c>
      <c r="P6" s="36">
        <f>Sammanfattning!P24</f>
        <v/>
      </c>
      <c r="Q6" s="36">
        <f>Sammanfattning!Q24</f>
        <v/>
      </c>
      <c r="R6" s="36">
        <f>Sammanfattning!R24</f>
        <v/>
      </c>
      <c r="S6" s="36">
        <f>Sammanfattning!S24</f>
        <v/>
      </c>
      <c r="T6" s="37">
        <f>Sammanfattning!T24</f>
        <v/>
      </c>
    </row>
    <row r="7">
      <c r="B7" t="inlineStr">
        <is>
          <t>Engelska A, Academic writing</t>
        </is>
      </c>
      <c r="C7" s="61" t="inlineStr">
        <is>
          <t>1EN066</t>
        </is>
      </c>
      <c r="D7" s="61" t="n"/>
      <c r="G7" s="57" t="n">
        <v>7.5</v>
      </c>
      <c r="K7" t="n">
        <v>7.5</v>
      </c>
    </row>
    <row r="8">
      <c r="B8" t="inlineStr">
        <is>
          <t>Analog kretsteknik</t>
        </is>
      </c>
      <c r="C8" s="61" t="inlineStr">
        <is>
          <t>5EL204</t>
        </is>
      </c>
      <c r="D8" s="61" t="n"/>
      <c r="G8" s="57" t="n">
        <v>6</v>
      </c>
      <c r="K8" t="n">
        <v>6</v>
      </c>
    </row>
    <row r="9">
      <c r="B9" t="inlineStr">
        <is>
          <t>Artificiell intelligens – grunder</t>
        </is>
      </c>
      <c r="C9" s="61" t="inlineStr">
        <is>
          <t>5DV121</t>
        </is>
      </c>
      <c r="D9" s="61" t="n"/>
      <c r="G9" s="57" t="n">
        <v>7.5</v>
      </c>
      <c r="K9" t="n">
        <v>7.5</v>
      </c>
    </row>
    <row r="10">
      <c r="B10" t="inlineStr">
        <is>
          <t>Bildgivande kärnspinresonans och ultraljud</t>
        </is>
      </c>
      <c r="C10" s="61" t="inlineStr">
        <is>
          <t>5RA007</t>
        </is>
      </c>
      <c r="D10" s="61" t="n"/>
      <c r="G10" s="57" t="n">
        <v>7.5</v>
      </c>
      <c r="K10" t="n">
        <v>7.5</v>
      </c>
    </row>
    <row r="11">
      <c r="B11" t="inlineStr">
        <is>
          <t>Datastrukturer och algoritmer i C</t>
        </is>
      </c>
      <c r="C11" s="61" t="inlineStr">
        <is>
          <t>5DV149</t>
        </is>
      </c>
      <c r="D11" s="61" t="n"/>
      <c r="G11" s="57" t="n">
        <v>7.5</v>
      </c>
      <c r="K11" t="n">
        <v>7.5</v>
      </c>
    </row>
    <row r="12">
      <c r="B12" t="inlineStr">
        <is>
          <t>Design-Build-Test – projektkurs för ingenjörer</t>
        </is>
      </c>
      <c r="C12" s="61" t="inlineStr">
        <is>
          <t>5TN000</t>
        </is>
      </c>
      <c r="D12" s="61" t="n"/>
      <c r="G12" s="57" t="n">
        <v>15</v>
      </c>
      <c r="K12" t="n">
        <v>15</v>
      </c>
    </row>
    <row r="13">
      <c r="B13" t="inlineStr">
        <is>
          <t>Digital kretsteknik</t>
        </is>
      </c>
      <c r="C13" s="61" t="inlineStr">
        <is>
          <t>5EL005</t>
        </is>
      </c>
      <c r="D13" s="61" t="n"/>
      <c r="G13" s="57" t="n">
        <v>4.5</v>
      </c>
      <c r="K13" t="n">
        <v>4.5</v>
      </c>
    </row>
    <row r="14">
      <c r="B14" t="inlineStr">
        <is>
          <t>Djupa faltningsnät med tillämpningar i medicinsk bildanalys</t>
        </is>
      </c>
      <c r="C14" s="61" t="inlineStr">
        <is>
          <t>3RA023</t>
        </is>
      </c>
      <c r="D14" s="61" t="n"/>
      <c r="G14" s="57" t="n">
        <v>7.5</v>
      </c>
      <c r="K14" t="n">
        <v>7.5</v>
      </c>
    </row>
    <row r="15" ht="13.5" customHeight="1" s="59">
      <c r="B15" s="62" t="inlineStr">
        <is>
          <t>Engelska för studerande på högskoleingenjörs-, civilingenjörs- och naturvetarprogrammen</t>
        </is>
      </c>
      <c r="C15" s="61" t="inlineStr">
        <is>
          <t>1EN010</t>
        </is>
      </c>
      <c r="D15" s="61" t="n"/>
      <c r="G15" s="57" t="n">
        <v>7.5</v>
      </c>
      <c r="K15" t="n">
        <v>7.5</v>
      </c>
    </row>
    <row r="16">
      <c r="B16" t="inlineStr">
        <is>
          <t>Forsknings- och utvecklingsprojekt inom teknisk fysik</t>
        </is>
      </c>
      <c r="C16" s="61" t="inlineStr">
        <is>
          <t>5FY199</t>
        </is>
      </c>
      <c r="D16" s="61" t="n"/>
      <c r="G16" s="57" t="n">
        <v>3</v>
      </c>
      <c r="K16" t="n">
        <v>3</v>
      </c>
    </row>
    <row r="17">
      <c r="B17" t="inlineStr">
        <is>
          <t>Forsknings- och utvecklingsprojekt inom teknisk fysik</t>
        </is>
      </c>
      <c r="C17" s="61" t="inlineStr">
        <is>
          <t>5FY200</t>
        </is>
      </c>
      <c r="D17" s="61" t="n"/>
      <c r="G17" s="57" t="n">
        <v>4.5</v>
      </c>
      <c r="K17" t="n">
        <v>4.5</v>
      </c>
    </row>
    <row r="18">
      <c r="B18" t="inlineStr">
        <is>
          <t>Forsknings- och utvecklingsprojekt inom teknisk fysik</t>
        </is>
      </c>
      <c r="C18" s="61" t="inlineStr">
        <is>
          <t>5FY201</t>
        </is>
      </c>
      <c r="D18" s="61" t="n"/>
      <c r="G18" s="57" t="n">
        <v>6</v>
      </c>
      <c r="K18" t="n">
        <v>6</v>
      </c>
    </row>
    <row r="19">
      <c r="B19" t="inlineStr">
        <is>
          <t>Forsknings- och utvecklingsprojekt inom teknisk fysik</t>
        </is>
      </c>
      <c r="C19" s="61" t="inlineStr">
        <is>
          <t>5FY202</t>
        </is>
      </c>
      <c r="D19" s="61" t="n"/>
      <c r="G19" s="57" t="n">
        <v>7.5</v>
      </c>
      <c r="K19" t="n">
        <v>7.5</v>
      </c>
    </row>
    <row r="20">
      <c r="B20" t="inlineStr">
        <is>
          <t>Forsknings- och utvecklingsprojekt inom teknisk fysik</t>
        </is>
      </c>
      <c r="C20" s="61" t="inlineStr">
        <is>
          <t>5FY203</t>
        </is>
      </c>
      <c r="D20" s="61" t="n"/>
      <c r="G20" s="57" t="n">
        <v>15</v>
      </c>
      <c r="K20" t="n">
        <v>15</v>
      </c>
    </row>
    <row r="21">
      <c r="B21" t="inlineStr">
        <is>
          <t>Från prototyp till produkt ur ett CE-perspektiv</t>
        </is>
      </c>
      <c r="C21" s="61" t="inlineStr">
        <is>
          <t>5RA034</t>
        </is>
      </c>
      <c r="D21" s="61" t="n"/>
      <c r="G21" s="57" t="n">
        <v>3.5</v>
      </c>
      <c r="K21" t="n">
        <v>3.5</v>
      </c>
    </row>
    <row r="22">
      <c r="B22" t="inlineStr">
        <is>
          <t>Hållbar utveckling och strålningsmiljö</t>
        </is>
      </c>
      <c r="C22" s="61" t="inlineStr">
        <is>
          <t>5RA029</t>
        </is>
      </c>
      <c r="D22" s="61" t="n"/>
      <c r="G22" s="57" t="n">
        <v>7.5</v>
      </c>
      <c r="K22" t="n">
        <v>7.5</v>
      </c>
    </row>
    <row r="23">
      <c r="B23" t="inlineStr">
        <is>
          <t>Hållfasthetslärans grunder</t>
        </is>
      </c>
      <c r="C23" s="61" t="inlineStr">
        <is>
          <t>5MT037</t>
        </is>
      </c>
      <c r="D23" s="61" t="n"/>
      <c r="G23" s="57" t="n">
        <v>6</v>
      </c>
      <c r="K23" t="n">
        <v>6</v>
      </c>
    </row>
    <row r="24">
      <c r="B24" t="inlineStr">
        <is>
          <t>Industriell ekonomi</t>
        </is>
      </c>
      <c r="C24" s="61" t="inlineStr">
        <is>
          <t>5FE017</t>
        </is>
      </c>
      <c r="D24" s="61" t="n"/>
      <c r="G24" s="57" t="n">
        <v>7.5</v>
      </c>
      <c r="K24" t="n">
        <v>7.5</v>
      </c>
    </row>
    <row r="25">
      <c r="A25" s="107" t="inlineStr">
        <is>
          <t>x</t>
        </is>
      </c>
      <c r="B25" t="inlineStr">
        <is>
          <t>Inledande ingenjörskurs, Öppen ingång</t>
        </is>
      </c>
      <c r="C25" s="61" t="inlineStr">
        <is>
          <t>5TN023</t>
        </is>
      </c>
      <c r="D25" s="61" t="n"/>
      <c r="G25" s="57" t="n">
        <v>7.5</v>
      </c>
      <c r="K25" t="n">
        <v>7.5</v>
      </c>
    </row>
    <row r="26">
      <c r="B26" t="inlineStr">
        <is>
          <t>Informationsteori, nätverk och marknader</t>
        </is>
      </c>
      <c r="C26" s="61" t="inlineStr">
        <is>
          <t>5FY126</t>
        </is>
      </c>
      <c r="D26" s="61" t="n"/>
      <c r="G26" s="57" t="n">
        <v>7.5</v>
      </c>
      <c r="K26" t="n">
        <v>4.5</v>
      </c>
    </row>
    <row r="27">
      <c r="B27" t="inlineStr">
        <is>
          <t>Kemometri</t>
        </is>
      </c>
      <c r="C27" s="61" t="inlineStr">
        <is>
          <t>5KE053</t>
        </is>
      </c>
      <c r="D27" s="61" t="n"/>
      <c r="G27" s="57" t="n">
        <v>7.5</v>
      </c>
      <c r="K27" t="n">
        <v>7.5</v>
      </c>
    </row>
    <row r="28">
      <c r="B28" t="inlineStr">
        <is>
          <t>Klinisk praktik i medicinsk strålningsfysik</t>
        </is>
      </c>
      <c r="C28" s="61" t="inlineStr">
        <is>
          <t>5RA023</t>
        </is>
      </c>
      <c r="D28" s="61" t="n"/>
      <c r="G28" s="57" t="n">
        <v>12.5</v>
      </c>
      <c r="K28" t="n">
        <v>12.5</v>
      </c>
    </row>
    <row r="29">
      <c r="B29" t="inlineStr">
        <is>
          <t>Kvalitetsprojekt inom Teknisk fysik</t>
        </is>
      </c>
      <c r="C29" s="61" t="inlineStr">
        <is>
          <t>5FY161</t>
        </is>
      </c>
      <c r="D29" s="61" t="n"/>
      <c r="G29" s="57" t="n">
        <v>3</v>
      </c>
      <c r="K29" t="n">
        <v>3</v>
      </c>
    </row>
    <row r="30">
      <c r="B30" t="inlineStr">
        <is>
          <t>Kvalitetsprojekt inom Teknisk fysik</t>
        </is>
      </c>
      <c r="C30" s="61" t="inlineStr">
        <is>
          <t>5FY162</t>
        </is>
      </c>
      <c r="D30" s="61" t="n"/>
      <c r="G30" s="57" t="n">
        <v>4.5</v>
      </c>
      <c r="K30" t="n">
        <v>4.5</v>
      </c>
    </row>
    <row r="31">
      <c r="B31" t="inlineStr">
        <is>
          <t>Kvalitetsprojekt inom Teknisk fysik</t>
        </is>
      </c>
      <c r="C31" s="61" t="inlineStr">
        <is>
          <t>5FY163</t>
        </is>
      </c>
      <c r="D31" s="61" t="n"/>
      <c r="G31" s="57" t="n">
        <v>6</v>
      </c>
      <c r="K31" t="n">
        <v>6</v>
      </c>
    </row>
    <row r="32">
      <c r="B32" t="inlineStr">
        <is>
          <t>Kvalitetsprojekt inom Teknisk fysik</t>
        </is>
      </c>
      <c r="C32" s="61" t="inlineStr">
        <is>
          <t>5FY164</t>
        </is>
      </c>
      <c r="D32" s="61" t="n"/>
      <c r="G32" s="57" t="n">
        <v>7.5</v>
      </c>
      <c r="K32" t="n">
        <v>7.5</v>
      </c>
    </row>
    <row r="33">
      <c r="B33" t="inlineStr">
        <is>
          <t>Kärnfysik</t>
        </is>
      </c>
      <c r="C33" s="61" t="inlineStr">
        <is>
          <t>5RA039</t>
        </is>
      </c>
      <c r="D33" s="61" t="n"/>
      <c r="G33" s="57" t="n">
        <v>7.5</v>
      </c>
      <c r="K33" t="n">
        <v>7.5</v>
      </c>
    </row>
    <row r="34">
      <c r="B34" t="inlineStr">
        <is>
          <t>Laborativ problemlösning i fysik</t>
        </is>
      </c>
      <c r="C34" s="61" t="inlineStr">
        <is>
          <t>5FY110</t>
        </is>
      </c>
      <c r="D34" s="61" t="n"/>
      <c r="G34" s="57" t="n">
        <v>2</v>
      </c>
      <c r="K34" t="n">
        <v>2</v>
      </c>
    </row>
    <row r="35">
      <c r="B35" t="inlineStr">
        <is>
          <t>Linjärprogrammering</t>
        </is>
      </c>
      <c r="C35" s="61" t="inlineStr">
        <is>
          <t>5MA158</t>
        </is>
      </c>
      <c r="D35" s="61" t="n"/>
      <c r="G35" s="57" t="n">
        <v>7.5</v>
      </c>
      <c r="K35" t="n">
        <v>7.5</v>
      </c>
    </row>
    <row r="36">
      <c r="B36" t="inlineStr">
        <is>
          <t>Medicinteknisk säkerhet &amp; riskanalys</t>
        </is>
      </c>
      <c r="C36" s="61" t="inlineStr">
        <is>
          <t>5RA040</t>
        </is>
      </c>
      <c r="D36" s="61" t="n"/>
      <c r="G36" s="57" t="n">
        <v>4</v>
      </c>
      <c r="K36" t="n">
        <v>4</v>
      </c>
    </row>
    <row r="37">
      <c r="B37" t="inlineStr">
        <is>
          <t>Medicin för ingenjörer</t>
        </is>
      </c>
      <c r="C37" s="61" t="inlineStr">
        <is>
          <t>5RA028</t>
        </is>
      </c>
      <c r="D37" s="61" t="n"/>
      <c r="G37" s="57" t="n">
        <v>6</v>
      </c>
      <c r="K37" t="n">
        <v>6</v>
      </c>
    </row>
    <row r="38">
      <c r="B38" t="inlineStr">
        <is>
          <t>Medicinsk teknik</t>
        </is>
      </c>
      <c r="C38" s="61" t="inlineStr">
        <is>
          <t>5RA037</t>
        </is>
      </c>
      <c r="D38" s="61" t="n"/>
      <c r="G38" s="57" t="n">
        <v>10</v>
      </c>
      <c r="K38" t="n">
        <v>10</v>
      </c>
    </row>
    <row r="39">
      <c r="B39" t="inlineStr">
        <is>
          <t>Mikrodatorer i inbyggda system</t>
        </is>
      </c>
      <c r="C39" s="61" t="inlineStr">
        <is>
          <t>5EL014</t>
        </is>
      </c>
      <c r="D39" s="61" t="n"/>
      <c r="G39" s="57" t="n">
        <v>7.5</v>
      </c>
      <c r="K39" t="n">
        <v>7.5</v>
      </c>
    </row>
    <row r="40">
      <c r="B40" t="inlineStr">
        <is>
          <t>Objektorienterad programmeringsmetodik</t>
        </is>
      </c>
      <c r="C40" s="61" t="inlineStr">
        <is>
          <t>5DV133</t>
        </is>
      </c>
      <c r="D40" s="61" t="n"/>
      <c r="G40" s="57" t="n">
        <v>7.5</v>
      </c>
      <c r="K40" t="n">
        <v>7.5</v>
      </c>
    </row>
    <row r="41">
      <c r="B41" t="inlineStr">
        <is>
          <t>Projekt i strålningsmiljö</t>
        </is>
      </c>
      <c r="C41" s="61" t="inlineStr">
        <is>
          <t>5RA032</t>
        </is>
      </c>
      <c r="D41" s="61" t="n"/>
      <c r="G41" s="57" t="n">
        <v>3</v>
      </c>
      <c r="K41" s="57" t="n">
        <v>3</v>
      </c>
    </row>
    <row r="42">
      <c r="B42" t="inlineStr">
        <is>
          <t>Projektledning 1</t>
        </is>
      </c>
      <c r="C42" s="61" t="inlineStr">
        <is>
          <t>5EL223</t>
        </is>
      </c>
      <c r="D42" s="61" t="n"/>
      <c r="G42" s="57" t="n">
        <v>7.5</v>
      </c>
      <c r="K42" s="57" t="n">
        <v>7.5</v>
      </c>
    </row>
    <row r="43">
      <c r="B43" t="inlineStr">
        <is>
          <t>Reglersystem</t>
        </is>
      </c>
      <c r="C43" s="61" t="inlineStr">
        <is>
          <t>5EL197</t>
        </is>
      </c>
      <c r="D43" s="61" t="n"/>
      <c r="G43" s="57" t="n">
        <v>7.5</v>
      </c>
      <c r="K43" s="57" t="n">
        <v>7.5</v>
      </c>
    </row>
    <row r="44">
      <c r="B44" t="inlineStr">
        <is>
          <t>Riskanalys inom strålbehandling</t>
        </is>
      </c>
      <c r="C44" s="61" t="inlineStr">
        <is>
          <t>5RA024</t>
        </is>
      </c>
      <c r="D44" s="61" t="n"/>
      <c r="G44" s="57" t="n">
        <v>7.5</v>
      </c>
      <c r="K44" s="57" t="n">
        <v>7.5</v>
      </c>
    </row>
    <row r="45">
      <c r="B45" t="inlineStr">
        <is>
          <t>Studentkonferens i elektronik och mekatronik</t>
        </is>
      </c>
      <c r="C45" s="61" t="inlineStr">
        <is>
          <t>5EL258</t>
        </is>
      </c>
      <c r="D45" s="61" t="n"/>
      <c r="G45" s="57" t="n"/>
    </row>
    <row r="46">
      <c r="B46" t="inlineStr">
        <is>
          <t>Systemnära programmering</t>
        </is>
      </c>
      <c r="C46" s="61" t="inlineStr">
        <is>
          <t>5DV088</t>
        </is>
      </c>
      <c r="D46" s="61" t="n"/>
      <c r="G46" s="57" t="n">
        <v>7.5</v>
      </c>
      <c r="K46" s="57" t="n">
        <v>7.5</v>
      </c>
    </row>
    <row r="47">
      <c r="A47" s="107" t="inlineStr">
        <is>
          <t>x</t>
        </is>
      </c>
      <c r="B47" t="inlineStr">
        <is>
          <t>Teknik, etik och miljö</t>
        </is>
      </c>
      <c r="C47" s="61" t="inlineStr">
        <is>
          <t>5GV058</t>
        </is>
      </c>
      <c r="D47" s="61" t="n"/>
      <c r="G47" s="57" t="n">
        <v>7.5</v>
      </c>
      <c r="K47" s="57" t="n">
        <v>7.5</v>
      </c>
    </row>
    <row r="48">
      <c r="B48" t="inlineStr">
        <is>
          <t>Teknikens idéhistoria</t>
        </is>
      </c>
      <c r="C48" s="61" t="inlineStr">
        <is>
          <t>1IH047</t>
        </is>
      </c>
      <c r="D48" s="61" t="n"/>
      <c r="G48" s="57" t="n">
        <v>7.5</v>
      </c>
      <c r="K48" s="57" t="n">
        <v>7.5</v>
      </c>
    </row>
    <row r="49">
      <c r="B49" t="inlineStr">
        <is>
          <t>Hållbar utveckling för ingenjörer</t>
        </is>
      </c>
      <c r="C49" s="61" t="inlineStr">
        <is>
          <t>5TF080</t>
        </is>
      </c>
      <c r="D49" s="61" t="n"/>
      <c r="G49" s="57" t="n">
        <v>7.5</v>
      </c>
      <c r="K49" s="57" t="n">
        <v>7.5</v>
      </c>
    </row>
    <row r="50">
      <c r="B50" t="inlineStr">
        <is>
          <t>Teknisk beräkningsvetenskap II</t>
        </is>
      </c>
      <c r="C50" s="61" t="inlineStr">
        <is>
          <t>5DV123</t>
        </is>
      </c>
      <c r="D50" s="61" t="n"/>
      <c r="G50" s="57" t="n">
        <v>7.5</v>
      </c>
      <c r="K50" s="57" t="n">
        <v>7.5</v>
      </c>
    </row>
    <row r="51">
      <c r="B51" t="inlineStr">
        <is>
          <t>Transformmetoder</t>
        </is>
      </c>
      <c r="C51" s="61" t="inlineStr">
        <is>
          <t>5MA181</t>
        </is>
      </c>
      <c r="D51" s="61" t="n"/>
      <c r="G51" s="57" t="n">
        <v>7.5</v>
      </c>
      <c r="K51" s="57" t="n">
        <v>7.5</v>
      </c>
    </row>
    <row r="52">
      <c r="B52" t="inlineStr">
        <is>
          <t>Utvecklingsarbete i samverkan med näringslivet, 3 hp</t>
        </is>
      </c>
      <c r="C52" s="40" t="inlineStr">
        <is>
          <t>5FY132</t>
        </is>
      </c>
      <c r="G52" s="57" t="n">
        <v>3</v>
      </c>
      <c r="K52" s="57" t="n">
        <v>3</v>
      </c>
    </row>
    <row r="53">
      <c r="B53" t="inlineStr">
        <is>
          <t>Utvecklingsarbete i samverkan med näringslivet, 4.5 hp</t>
        </is>
      </c>
      <c r="C53" s="40" t="inlineStr">
        <is>
          <t>5FY133</t>
        </is>
      </c>
      <c r="G53" s="57" t="n">
        <v>4.5</v>
      </c>
      <c r="K53" s="57" t="n">
        <v>4.5</v>
      </c>
    </row>
    <row r="54">
      <c r="B54" t="inlineStr">
        <is>
          <t>Utvecklingsarbete i samverkan med näringslivet, 6 hp</t>
        </is>
      </c>
      <c r="C54" s="40" t="inlineStr">
        <is>
          <t>5FY134</t>
        </is>
      </c>
      <c r="G54" s="57" t="n">
        <v>6</v>
      </c>
      <c r="K54" s="57" t="n">
        <v>6</v>
      </c>
    </row>
    <row r="55">
      <c r="B55" t="inlineStr">
        <is>
          <t>Utvecklingsarbete i samverkan med näringslivet, 7.5 hp</t>
        </is>
      </c>
      <c r="C55" s="40" t="inlineStr">
        <is>
          <t>5FY135</t>
        </is>
      </c>
      <c r="G55" s="57" t="n">
        <v>7.5</v>
      </c>
      <c r="K55" s="57" t="n">
        <v>7.5</v>
      </c>
    </row>
    <row r="56">
      <c r="B56" t="inlineStr">
        <is>
          <t>Utvecklingsarbete i samverkan med näringslivet, 15 hp</t>
        </is>
      </c>
      <c r="C56" s="40" t="inlineStr">
        <is>
          <t>5FY125</t>
        </is>
      </c>
      <c r="G56" s="57" t="n">
        <v>15</v>
      </c>
      <c r="K56" s="57" t="n">
        <v>15</v>
      </c>
    </row>
    <row r="57">
      <c r="G57" s="57" t="n"/>
    </row>
    <row r="58">
      <c r="G58" s="57" t="n"/>
    </row>
    <row r="59">
      <c r="G59" s="57" t="n"/>
    </row>
    <row r="60">
      <c r="G60" s="57" t="n"/>
    </row>
    <row r="61">
      <c r="G61" s="57" t="n"/>
    </row>
    <row r="62">
      <c r="G62" s="57" t="n"/>
    </row>
    <row r="63">
      <c r="G63" s="57" t="n"/>
    </row>
    <row r="64">
      <c r="G64" s="57" t="n"/>
    </row>
    <row r="65">
      <c r="G65" s="57" t="n"/>
    </row>
    <row r="66">
      <c r="G66" s="57" t="n"/>
    </row>
    <row r="67">
      <c r="G67" s="57" t="n"/>
    </row>
    <row r="68">
      <c r="G68" s="57" t="n"/>
    </row>
    <row r="69">
      <c r="G69" s="57" t="n"/>
    </row>
    <row r="70">
      <c r="G70" s="57" t="n"/>
    </row>
    <row r="71">
      <c r="G71" s="57" t="n"/>
    </row>
    <row r="72">
      <c r="G72" s="57" t="n"/>
    </row>
    <row r="73">
      <c r="G73" s="57" t="n"/>
    </row>
    <row r="74">
      <c r="G74" s="57" t="n"/>
    </row>
    <row r="75">
      <c r="G75" s="57" t="n"/>
    </row>
    <row r="76">
      <c r="G76" s="57" t="n"/>
    </row>
    <row r="77">
      <c r="G77" s="57" t="n"/>
    </row>
    <row r="78">
      <c r="G78" s="57" t="n"/>
    </row>
    <row r="79">
      <c r="G79" s="57" t="n"/>
    </row>
    <row r="80">
      <c r="G80" s="57" t="n"/>
    </row>
    <row r="81">
      <c r="G81" s="57" t="n"/>
    </row>
    <row r="82">
      <c r="G82" s="57" t="n"/>
    </row>
    <row r="83">
      <c r="G83" s="57" t="n"/>
    </row>
    <row r="84">
      <c r="G84" s="57" t="n"/>
    </row>
    <row r="85">
      <c r="G85" s="57" t="n"/>
    </row>
    <row r="86">
      <c r="G86" s="57" t="n"/>
    </row>
    <row r="87">
      <c r="G87" s="57" t="n"/>
    </row>
    <row r="88">
      <c r="G88" s="57" t="n"/>
    </row>
    <row r="89">
      <c r="G89" s="57" t="n"/>
    </row>
    <row r="90">
      <c r="G90" s="57" t="n"/>
    </row>
    <row r="91">
      <c r="G91" s="57" t="n"/>
    </row>
    <row r="92">
      <c r="G92" s="57" t="n"/>
    </row>
    <row r="93">
      <c r="G93" s="57" t="n"/>
    </row>
    <row r="94">
      <c r="G94" s="57" t="n"/>
    </row>
    <row r="95">
      <c r="G95" s="57" t="n"/>
    </row>
    <row r="96">
      <c r="G96" s="57" t="n"/>
    </row>
    <row r="97">
      <c r="G97" s="57" t="n"/>
    </row>
    <row r="98">
      <c r="G98" s="57" t="n"/>
    </row>
    <row r="99">
      <c r="G99" s="57" t="n"/>
    </row>
    <row r="100">
      <c r="G100" s="57" t="n"/>
    </row>
    <row r="101">
      <c r="G101" s="57" t="n"/>
    </row>
    <row r="102">
      <c r="G102" s="57" t="n"/>
    </row>
    <row r="103">
      <c r="G103" s="57" t="n"/>
    </row>
    <row r="104">
      <c r="G104" s="57" t="n"/>
    </row>
    <row r="105">
      <c r="G105" s="57" t="n"/>
    </row>
    <row r="106">
      <c r="G106" s="57" t="n"/>
    </row>
    <row r="107">
      <c r="G107" s="57" t="n"/>
    </row>
    <row r="108">
      <c r="G108" s="57" t="n"/>
    </row>
    <row r="109">
      <c r="G109" s="57" t="n"/>
    </row>
    <row r="110">
      <c r="G110" s="57" t="n"/>
    </row>
    <row r="111">
      <c r="G111" s="57" t="n"/>
    </row>
    <row r="112">
      <c r="G112" s="57" t="n"/>
    </row>
    <row r="113">
      <c r="G113" s="57" t="n"/>
    </row>
    <row r="114">
      <c r="G114" s="57" t="n"/>
    </row>
    <row r="115">
      <c r="G115" s="57" t="n"/>
    </row>
    <row r="116">
      <c r="G116" s="57" t="n"/>
    </row>
    <row r="117">
      <c r="G117" s="57" t="n"/>
    </row>
    <row r="118">
      <c r="G118" s="57" t="n"/>
    </row>
    <row r="119">
      <c r="G119" s="57" t="n"/>
    </row>
    <row r="120">
      <c r="G120" s="57" t="n"/>
    </row>
    <row r="121">
      <c r="G121" s="57" t="n"/>
    </row>
    <row r="122">
      <c r="G122" s="57" t="n"/>
    </row>
    <row r="123">
      <c r="G123" s="57" t="n"/>
    </row>
    <row r="124">
      <c r="G124" s="57" t="n"/>
    </row>
    <row r="125">
      <c r="G125" s="57" t="n"/>
    </row>
    <row r="126">
      <c r="G126" s="57" t="n"/>
    </row>
    <row r="127">
      <c r="G127" s="57" t="n"/>
    </row>
    <row r="128">
      <c r="G128" s="57" t="n"/>
    </row>
    <row r="129">
      <c r="G129" s="57" t="n"/>
    </row>
    <row r="130">
      <c r="G130" s="57" t="n"/>
    </row>
    <row r="131">
      <c r="G131" s="57" t="n"/>
    </row>
    <row r="132">
      <c r="G132" s="57" t="n"/>
    </row>
    <row r="133">
      <c r="G133" s="57" t="n"/>
    </row>
    <row r="134">
      <c r="G134" s="57" t="n"/>
    </row>
    <row r="135">
      <c r="G135" s="57" t="n"/>
    </row>
    <row r="136">
      <c r="G136" s="57" t="n"/>
    </row>
    <row r="137">
      <c r="G137" s="57" t="n"/>
    </row>
    <row r="138">
      <c r="G138" s="57" t="n"/>
    </row>
    <row r="139">
      <c r="G139" s="57" t="n"/>
    </row>
    <row r="140">
      <c r="G140" s="57" t="n"/>
    </row>
    <row r="141">
      <c r="G141" s="57" t="n"/>
    </row>
    <row r="142">
      <c r="G142" s="57" t="n"/>
    </row>
    <row r="143">
      <c r="G143" s="57" t="n"/>
    </row>
    <row r="144">
      <c r="G144" s="57" t="n"/>
    </row>
    <row r="145">
      <c r="G145" s="57" t="n"/>
    </row>
    <row r="146">
      <c r="G146" s="57" t="n"/>
    </row>
    <row r="147">
      <c r="G147" s="57" t="n"/>
    </row>
    <row r="148">
      <c r="G148" s="57" t="n"/>
    </row>
    <row r="149">
      <c r="G149" s="57" t="n"/>
    </row>
    <row r="150">
      <c r="G150" s="57" t="n"/>
    </row>
    <row r="151">
      <c r="G151" s="57" t="n"/>
    </row>
    <row r="152">
      <c r="G152" s="57" t="n"/>
    </row>
    <row r="153">
      <c r="G153" s="57" t="n"/>
    </row>
    <row r="154">
      <c r="G154" s="57" t="n"/>
    </row>
    <row r="155">
      <c r="G155" s="57" t="n"/>
    </row>
    <row r="156">
      <c r="G156" s="57" t="n"/>
    </row>
    <row r="157">
      <c r="G157" s="57" t="n"/>
    </row>
    <row r="158">
      <c r="G158" s="57" t="n"/>
    </row>
    <row r="159">
      <c r="G159" s="57" t="n"/>
    </row>
    <row r="160">
      <c r="G160" s="57" t="n"/>
    </row>
    <row r="161">
      <c r="G161" s="57" t="n"/>
    </row>
    <row r="162">
      <c r="G162" s="57" t="n"/>
    </row>
    <row r="163">
      <c r="G163" s="57" t="n"/>
    </row>
    <row r="164">
      <c r="G164" s="57" t="n"/>
    </row>
    <row r="165">
      <c r="G165" s="57" t="n"/>
    </row>
    <row r="166">
      <c r="G166" s="57" t="n"/>
    </row>
    <row r="167">
      <c r="G167" s="57" t="n"/>
    </row>
    <row r="168">
      <c r="G168" s="57" t="n"/>
    </row>
    <row r="169">
      <c r="G169" s="57" t="n"/>
    </row>
    <row r="170">
      <c r="G170" s="57" t="n"/>
    </row>
    <row r="171">
      <c r="G171" s="57" t="n"/>
    </row>
    <row r="172">
      <c r="G172" s="57" t="n"/>
    </row>
    <row r="173">
      <c r="G173" s="57" t="n"/>
    </row>
    <row r="174">
      <c r="G174" s="57" t="n"/>
    </row>
    <row r="175">
      <c r="G175" s="57" t="n"/>
    </row>
    <row r="176">
      <c r="G176" s="57" t="n"/>
    </row>
    <row r="177">
      <c r="G177" s="57" t="n"/>
    </row>
    <row r="178">
      <c r="G178" s="57" t="n"/>
    </row>
    <row r="179">
      <c r="G179" s="57" t="n"/>
    </row>
    <row r="180">
      <c r="G180" s="57" t="n"/>
    </row>
    <row r="181">
      <c r="G181" s="57" t="n"/>
    </row>
    <row r="182">
      <c r="G182" s="57" t="n"/>
    </row>
    <row r="183">
      <c r="G183" s="57" t="n"/>
    </row>
    <row r="184">
      <c r="G184" s="57" t="n"/>
    </row>
    <row r="185">
      <c r="G185" s="57" t="n"/>
    </row>
    <row r="186">
      <c r="G186" s="57" t="n"/>
    </row>
    <row r="187">
      <c r="G187" s="57" t="n"/>
    </row>
    <row r="188">
      <c r="G188" s="57" t="n"/>
    </row>
    <row r="189">
      <c r="G189" s="57" t="n"/>
    </row>
    <row r="190">
      <c r="G190" s="57" t="n"/>
    </row>
    <row r="191">
      <c r="G191" s="57" t="n"/>
    </row>
    <row r="192">
      <c r="G192" s="57" t="n"/>
    </row>
    <row r="193">
      <c r="G193" s="57" t="n"/>
    </row>
    <row r="194">
      <c r="G194" s="57" t="n"/>
    </row>
    <row r="195">
      <c r="G195" s="57" t="n"/>
    </row>
    <row r="196">
      <c r="G196" s="57" t="n"/>
    </row>
    <row r="197">
      <c r="G197" s="57" t="n"/>
    </row>
    <row r="198">
      <c r="G198" s="57" t="n"/>
    </row>
    <row r="199">
      <c r="G199" s="57" t="n"/>
    </row>
    <row r="200">
      <c r="G200" s="57" t="n"/>
    </row>
    <row r="201">
      <c r="G201" s="57" t="n"/>
    </row>
    <row r="202">
      <c r="G202" s="57" t="n"/>
    </row>
    <row r="203">
      <c r="G203" s="57" t="n"/>
    </row>
    <row r="204">
      <c r="G204" s="57" t="n"/>
    </row>
    <row r="205">
      <c r="G205" s="57" t="n"/>
    </row>
    <row r="206">
      <c r="G206" s="57" t="n"/>
    </row>
    <row r="207">
      <c r="G207" s="57" t="n"/>
    </row>
    <row r="208">
      <c r="G208" s="57" t="n"/>
    </row>
    <row r="209">
      <c r="G209" s="57" t="n"/>
    </row>
    <row r="210">
      <c r="G210" s="57" t="n"/>
    </row>
    <row r="211">
      <c r="G211" s="57" t="n"/>
    </row>
    <row r="212">
      <c r="G212" s="57" t="n"/>
    </row>
    <row r="213">
      <c r="G213" s="57" t="n"/>
    </row>
    <row r="214">
      <c r="G214" s="57" t="n"/>
    </row>
    <row r="215">
      <c r="G215" s="57" t="n"/>
    </row>
    <row r="216">
      <c r="G216" s="57" t="n"/>
    </row>
    <row r="217">
      <c r="G217" s="57" t="n"/>
    </row>
    <row r="218">
      <c r="G218" s="57" t="n"/>
    </row>
    <row r="219">
      <c r="G219" s="57" t="n"/>
    </row>
    <row r="220">
      <c r="G220" s="57" t="n"/>
    </row>
    <row r="221">
      <c r="G221" s="57" t="n"/>
    </row>
    <row r="222">
      <c r="G222" s="57" t="n"/>
    </row>
    <row r="223">
      <c r="G223" s="57" t="n"/>
    </row>
    <row r="224">
      <c r="G224" s="57" t="n"/>
    </row>
    <row r="225">
      <c r="G225" s="57" t="n"/>
    </row>
    <row r="226">
      <c r="G226" s="57" t="n"/>
    </row>
    <row r="227">
      <c r="G227" s="57" t="n"/>
    </row>
  </sheetData>
  <mergeCells count="5">
    <mergeCell ref="G2:T2"/>
    <mergeCell ref="H3:T3"/>
    <mergeCell ref="H4:J4"/>
    <mergeCell ref="K4:L4"/>
    <mergeCell ref="M4:T4"/>
  </mergeCells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Blad4">
    <outlinePr summaryBelow="1" summaryRight="1"/>
    <pageSetUpPr/>
  </sheetPr>
  <dimension ref="A1:T100"/>
  <sheetViews>
    <sheetView zoomScaleNormal="100" workbookViewId="0">
      <selection activeCell="A97" sqref="A97"/>
    </sheetView>
  </sheetViews>
  <sheetFormatPr baseColWidth="8" defaultColWidth="8.85546875" defaultRowHeight="15"/>
  <cols>
    <col width="9.28515625" bestFit="1" customWidth="1" style="40" min="1" max="1"/>
    <col width="51.140625" bestFit="1" customWidth="1" style="59" min="2" max="2"/>
    <col width="7.85546875" customWidth="1" style="40" min="3" max="4"/>
    <col width="22.28515625" bestFit="1" customWidth="1" style="59" min="5" max="5"/>
    <col width="29.7109375" bestFit="1" customWidth="1" style="59" min="6" max="6"/>
    <col width="5.42578125" customWidth="1" style="59" min="7" max="7"/>
    <col width="6.85546875" bestFit="1" customWidth="1" style="59" min="8" max="8"/>
    <col width="8.140625" bestFit="1" customWidth="1" style="59" min="9" max="9"/>
    <col width="4" bestFit="1" customWidth="1" style="59" min="10" max="10"/>
    <col width="5" bestFit="1" customWidth="1" style="59" min="11" max="11"/>
    <col width="4.7109375" bestFit="1" customWidth="1" style="59" min="12" max="12"/>
    <col width="4.28515625" customWidth="1" style="59" min="13" max="13"/>
    <col width="4.42578125" bestFit="1" customWidth="1" style="59" min="14" max="14"/>
    <col width="6.85546875" bestFit="1" customWidth="1" style="59" min="15" max="16"/>
    <col width="6.140625" bestFit="1" customWidth="1" style="59" min="17" max="17"/>
    <col width="4.42578125" bestFit="1" customWidth="1" style="59" min="18" max="18"/>
    <col width="5.140625" bestFit="1" customWidth="1" style="59" min="19" max="19"/>
    <col width="4.42578125" bestFit="1" customWidth="1" style="59" min="20" max="20"/>
  </cols>
  <sheetData>
    <row r="1"/>
    <row r="2">
      <c r="B2" t="inlineStr">
        <is>
          <t>Profilkurser</t>
        </is>
      </c>
      <c r="G2" s="105">
        <f>Sammanfattning!G20</f>
        <v/>
      </c>
      <c r="H2" s="97" t="n"/>
      <c r="I2" s="97" t="n"/>
      <c r="J2" s="97" t="n"/>
      <c r="K2" s="97" t="n"/>
      <c r="L2" s="97" t="n"/>
      <c r="M2" s="97" t="n"/>
      <c r="N2" s="97" t="n"/>
      <c r="O2" s="97" t="n"/>
      <c r="P2" s="97" t="n"/>
      <c r="Q2" s="97" t="n"/>
      <c r="R2" s="97" t="n"/>
      <c r="S2" s="97" t="n"/>
      <c r="T2" s="98" t="n"/>
    </row>
    <row r="3">
      <c r="G3" s="66" t="n"/>
      <c r="H3" s="105">
        <f>Sammanfattning!H21</f>
        <v/>
      </c>
      <c r="I3" s="97" t="n"/>
      <c r="J3" s="97" t="n"/>
      <c r="K3" s="97" t="n"/>
      <c r="L3" s="97" t="n"/>
      <c r="M3" s="97" t="n"/>
      <c r="N3" s="97" t="n"/>
      <c r="O3" s="97" t="n"/>
      <c r="P3" s="97" t="n"/>
      <c r="Q3" s="97" t="n"/>
      <c r="R3" s="97" t="n"/>
      <c r="S3" s="97" t="n"/>
      <c r="T3" s="98" t="n"/>
    </row>
    <row r="4">
      <c r="H4" s="106">
        <f>Sammanfattning!H22</f>
        <v/>
      </c>
      <c r="I4" s="44" t="n"/>
      <c r="J4" s="99" t="n"/>
      <c r="K4" s="106">
        <f>Sammanfattning!K22</f>
        <v/>
      </c>
      <c r="L4" s="99" t="n"/>
      <c r="M4" s="106">
        <f>Sammanfattning!M22</f>
        <v/>
      </c>
      <c r="N4" s="44" t="n"/>
      <c r="O4" s="44" t="n"/>
      <c r="P4" s="44" t="n"/>
      <c r="Q4" s="44" t="n"/>
      <c r="R4" s="44" t="n"/>
      <c r="S4" s="44" t="n"/>
      <c r="T4" s="99" t="n"/>
    </row>
    <row r="5">
      <c r="A5" s="22">
        <f>Sammanfattning!A23</f>
        <v/>
      </c>
      <c r="B5" s="20">
        <f>Sammanfattning!B23</f>
        <v/>
      </c>
      <c r="C5" s="20">
        <f>Sammanfattning!C23</f>
        <v/>
      </c>
      <c r="D5" s="20" t="n"/>
      <c r="E5" s="20">
        <f>Sammanfattning!E23</f>
        <v/>
      </c>
      <c r="F5" s="20">
        <f>Sammanfattning!F23</f>
        <v/>
      </c>
      <c r="G5" s="20">
        <f>Sammanfattning!G23</f>
        <v/>
      </c>
      <c r="H5" s="20">
        <f>Sammanfattning!H23</f>
        <v/>
      </c>
      <c r="I5" s="20">
        <f>Sammanfattning!I23</f>
        <v/>
      </c>
      <c r="J5" s="20">
        <f>Sammanfattning!J23</f>
        <v/>
      </c>
      <c r="K5" s="20">
        <f>Sammanfattning!K23</f>
        <v/>
      </c>
      <c r="L5" s="20">
        <f>Sammanfattning!L23</f>
        <v/>
      </c>
      <c r="M5" s="20">
        <f>Sammanfattning!M23</f>
        <v/>
      </c>
      <c r="N5" s="20">
        <f>Sammanfattning!N23</f>
        <v/>
      </c>
      <c r="O5" s="20">
        <f>Sammanfattning!O23</f>
        <v/>
      </c>
      <c r="P5" s="20">
        <f>Sammanfattning!P23</f>
        <v/>
      </c>
      <c r="Q5" s="20">
        <f>Sammanfattning!Q23</f>
        <v/>
      </c>
      <c r="R5" s="20">
        <f>Sammanfattning!R23</f>
        <v/>
      </c>
      <c r="S5" s="20">
        <f>Sammanfattning!S23</f>
        <v/>
      </c>
      <c r="T5" s="21">
        <f>Sammanfattning!T23</f>
        <v/>
      </c>
    </row>
    <row r="6">
      <c r="A6" s="23">
        <f>Sammanfattning!A24</f>
        <v/>
      </c>
      <c r="B6" s="36">
        <f>Sammanfattning!B24</f>
        <v/>
      </c>
      <c r="C6" s="36">
        <f>Sammanfattning!C24</f>
        <v/>
      </c>
      <c r="D6" s="36" t="n"/>
      <c r="E6" s="36">
        <f>Sammanfattning!E24</f>
        <v/>
      </c>
      <c r="F6" s="36">
        <f>Sammanfattning!F24</f>
        <v/>
      </c>
      <c r="G6" s="36">
        <f>Sammanfattning!G24</f>
        <v/>
      </c>
      <c r="H6" s="36">
        <f>Sammanfattning!H24</f>
        <v/>
      </c>
      <c r="I6" s="36">
        <f>Sammanfattning!I24</f>
        <v/>
      </c>
      <c r="J6" s="36">
        <f>Sammanfattning!J24</f>
        <v/>
      </c>
      <c r="K6" s="36">
        <f>Sammanfattning!K24</f>
        <v/>
      </c>
      <c r="L6" s="36">
        <f>Sammanfattning!L24</f>
        <v/>
      </c>
      <c r="M6" s="36">
        <f>Sammanfattning!M24</f>
        <v/>
      </c>
      <c r="N6" s="36">
        <f>Sammanfattning!N24</f>
        <v/>
      </c>
      <c r="O6" s="36">
        <f>Sammanfattning!O24</f>
        <v/>
      </c>
      <c r="P6" s="36">
        <f>Sammanfattning!P24</f>
        <v/>
      </c>
      <c r="Q6" s="36">
        <f>Sammanfattning!Q24</f>
        <v/>
      </c>
      <c r="R6" s="36">
        <f>Sammanfattning!R24</f>
        <v/>
      </c>
      <c r="S6" s="36">
        <f>Sammanfattning!S24</f>
        <v/>
      </c>
      <c r="T6" s="37">
        <f>Sammanfattning!T24</f>
        <v/>
      </c>
    </row>
    <row r="7">
      <c r="A7" s="64" t="n"/>
      <c r="B7" s="31" t="inlineStr">
        <is>
          <t>Beräkningsfysik</t>
        </is>
      </c>
      <c r="C7" s="63" t="n"/>
      <c r="D7" s="63" t="n"/>
      <c r="E7" s="65" t="n"/>
      <c r="F7" s="65" t="n"/>
      <c r="G7" s="65" t="n"/>
      <c r="H7" s="65" t="n"/>
      <c r="I7" s="65" t="n"/>
      <c r="J7" s="65" t="n"/>
      <c r="K7" s="65" t="n"/>
      <c r="L7" s="65" t="n"/>
      <c r="M7" s="65" t="n"/>
      <c r="N7" s="65" t="n"/>
      <c r="O7" s="65" t="n"/>
      <c r="P7" s="65" t="n"/>
      <c r="Q7" s="65" t="n"/>
      <c r="R7" s="65" t="n"/>
      <c r="S7" s="65" t="n"/>
      <c r="T7" s="65" t="n"/>
    </row>
    <row r="8">
      <c r="B8" t="inlineStr">
        <is>
          <t>Aktuella forskningsområden i fysik</t>
        </is>
      </c>
      <c r="C8" s="1" t="inlineStr">
        <is>
          <t>5FY212</t>
        </is>
      </c>
      <c r="D8" s="1" t="n"/>
      <c r="G8" t="n">
        <v>7.5</v>
      </c>
      <c r="L8" t="n">
        <v>7.5</v>
      </c>
    </row>
    <row r="9">
      <c r="B9" t="inlineStr">
        <is>
          <t>Avancerade beräkningsmetoder i flödesmekanik</t>
        </is>
      </c>
      <c r="C9" s="40" t="inlineStr">
        <is>
          <t>5FY167</t>
        </is>
      </c>
      <c r="G9" t="n">
        <v>7.5</v>
      </c>
      <c r="L9" t="n">
        <v>7.5</v>
      </c>
    </row>
    <row r="10">
      <c r="B10" t="inlineStr">
        <is>
          <t>Dynamisk modellering av levande system</t>
        </is>
      </c>
      <c r="C10" s="1" t="inlineStr">
        <is>
          <t>5FY198</t>
        </is>
      </c>
      <c r="D10" s="1" t="n"/>
      <c r="G10" t="n">
        <v>7.5</v>
      </c>
      <c r="L10" t="n">
        <v>7.5</v>
      </c>
    </row>
    <row r="11">
      <c r="A11" s="107" t="inlineStr">
        <is>
          <t>x</t>
        </is>
      </c>
      <c r="B11" t="inlineStr">
        <is>
          <t>Fysikens numeriska metoder</t>
        </is>
      </c>
      <c r="C11" s="40" t="inlineStr">
        <is>
          <t>5FY187</t>
        </is>
      </c>
      <c r="G11" t="n">
        <v>7.5</v>
      </c>
      <c r="L11" t="n">
        <v>7.5</v>
      </c>
    </row>
    <row r="12">
      <c r="A12" s="107" t="inlineStr">
        <is>
          <t>x</t>
        </is>
      </c>
      <c r="B12" t="inlineStr">
        <is>
          <t>Matrisberäkningar och tillämpningar</t>
        </is>
      </c>
      <c r="C12" s="40" t="inlineStr">
        <is>
          <t>5DA003</t>
        </is>
      </c>
      <c r="G12" t="n">
        <v>7.5</v>
      </c>
      <c r="L12" t="n">
        <v>7.5</v>
      </c>
    </row>
    <row r="13">
      <c r="A13" s="107" t="inlineStr">
        <is>
          <t>x</t>
        </is>
      </c>
      <c r="B13" t="inlineStr">
        <is>
          <t>Modellering och simulering</t>
        </is>
      </c>
      <c r="C13" s="40" t="inlineStr">
        <is>
          <t>5FY176</t>
        </is>
      </c>
      <c r="G13" t="n">
        <v>7.5</v>
      </c>
      <c r="L13" t="n">
        <v>7.5</v>
      </c>
    </row>
    <row r="14">
      <c r="B14" t="inlineStr">
        <is>
          <t>Monte Carlo-simuleringar av kritiska fenomen i fysik</t>
        </is>
      </c>
      <c r="C14" s="40" t="inlineStr">
        <is>
          <t>5FY188</t>
        </is>
      </c>
      <c r="G14" t="n">
        <v>7.5</v>
      </c>
      <c r="L14" t="n">
        <v>7.5</v>
      </c>
    </row>
    <row r="15">
      <c r="B15" t="inlineStr">
        <is>
          <t>Numeriska metoder för partiella differentialekvationer</t>
        </is>
      </c>
      <c r="C15" s="40" t="inlineStr">
        <is>
          <t>5MA184</t>
        </is>
      </c>
      <c r="G15" t="n">
        <v>7.5</v>
      </c>
      <c r="L15" t="n">
        <v>7.5</v>
      </c>
    </row>
    <row r="16">
      <c r="B16" t="inlineStr">
        <is>
          <t>Optimering med tillämpningar</t>
        </is>
      </c>
      <c r="C16" s="40" t="inlineStr">
        <is>
          <t>5DA004</t>
        </is>
      </c>
      <c r="G16" t="n">
        <v>7.5</v>
      </c>
      <c r="L16" t="n">
        <v>7.5</v>
      </c>
    </row>
    <row r="17">
      <c r="A17" s="64" t="n"/>
      <c r="B17" s="31" t="inlineStr">
        <is>
          <t>Finansiell modellering</t>
        </is>
      </c>
      <c r="C17" s="64" t="n"/>
      <c r="D17" s="64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</row>
    <row r="18">
      <c r="B18" t="inlineStr">
        <is>
          <t>Aktuella forskningsområden i fysik</t>
        </is>
      </c>
      <c r="C18" s="40" t="inlineStr">
        <is>
          <t>5FY212</t>
        </is>
      </c>
      <c r="G18" t="n">
        <v>7.5</v>
      </c>
      <c r="L18" t="n">
        <v>7.5</v>
      </c>
    </row>
    <row r="19">
      <c r="B19" t="inlineStr">
        <is>
          <t>Finansiell ekonomi D2</t>
        </is>
      </c>
      <c r="C19" s="40" t="inlineStr">
        <is>
          <t>2NE016</t>
        </is>
      </c>
      <c r="G19" t="n">
        <v>7.5</v>
      </c>
      <c r="L19" t="n">
        <v>7.5</v>
      </c>
    </row>
    <row r="20">
      <c r="B20" t="inlineStr">
        <is>
          <t>Finansiell ekonomi II D21</t>
        </is>
      </c>
      <c r="C20" s="40" t="inlineStr">
        <is>
          <t>2NE056</t>
        </is>
      </c>
      <c r="G20" t="n">
        <v>7.5</v>
      </c>
      <c r="L20" t="n">
        <v>7.5</v>
      </c>
    </row>
    <row r="21">
      <c r="B21" t="inlineStr">
        <is>
          <t>Finansiell matematik</t>
        </is>
      </c>
      <c r="C21" s="40" t="inlineStr">
        <is>
          <t>5MA175</t>
        </is>
      </c>
      <c r="G21" t="n">
        <v>7.5</v>
      </c>
      <c r="L21" t="n">
        <v>7.5</v>
      </c>
    </row>
    <row r="22">
      <c r="A22" s="107" t="inlineStr">
        <is>
          <t>x</t>
        </is>
      </c>
      <c r="B22" t="inlineStr">
        <is>
          <t>Finita elementmetoden</t>
        </is>
      </c>
      <c r="C22" s="40" t="inlineStr">
        <is>
          <t>5MA176</t>
        </is>
      </c>
      <c r="G22" t="n">
        <v>7.5</v>
      </c>
      <c r="L22" t="n">
        <v>7.5</v>
      </c>
    </row>
    <row r="23">
      <c r="B23" t="inlineStr">
        <is>
          <t>Modellering och simulering</t>
        </is>
      </c>
      <c r="C23" s="40" t="inlineStr">
        <is>
          <t>5FY176</t>
        </is>
      </c>
      <c r="G23" t="n">
        <v>7.5</v>
      </c>
      <c r="L23" t="n">
        <v>7.5</v>
      </c>
    </row>
    <row r="24">
      <c r="B24" t="inlineStr">
        <is>
          <t>Monte Carlo-metoder för finansiella tillämpningar</t>
        </is>
      </c>
      <c r="C24" s="40" t="inlineStr">
        <is>
          <t>5MA178</t>
        </is>
      </c>
      <c r="G24" t="n">
        <v>7.5</v>
      </c>
      <c r="L24" t="n">
        <v>7.5</v>
      </c>
    </row>
    <row r="25">
      <c r="B25" t="inlineStr">
        <is>
          <t>Multivariat dataanalys</t>
        </is>
      </c>
      <c r="C25" s="40" t="inlineStr">
        <is>
          <t>5MS056</t>
        </is>
      </c>
      <c r="G25" t="n">
        <v>7.5</v>
      </c>
      <c r="L25" t="n">
        <v>7.5</v>
      </c>
    </row>
    <row r="26">
      <c r="B26" t="inlineStr">
        <is>
          <t>Numeriska metoder för partiella differentialekvationer</t>
        </is>
      </c>
      <c r="C26" s="40" t="inlineStr">
        <is>
          <t>5MA184</t>
        </is>
      </c>
      <c r="G26" t="n">
        <v>7.5</v>
      </c>
      <c r="L26" t="n">
        <v>7.5</v>
      </c>
    </row>
    <row r="27">
      <c r="B27" t="inlineStr">
        <is>
          <t>Stokastiska differentialekvationer</t>
        </is>
      </c>
      <c r="C27" s="40" t="inlineStr">
        <is>
          <t>5MA180</t>
        </is>
      </c>
      <c r="G27" t="n">
        <v>7.5</v>
      </c>
      <c r="L27" t="n">
        <v>7.5</v>
      </c>
    </row>
    <row r="28">
      <c r="B28" t="inlineStr">
        <is>
          <t>Tidsserieanalys och spatial statistik</t>
        </is>
      </c>
      <c r="C28" s="40" t="inlineStr">
        <is>
          <t>5MS067</t>
        </is>
      </c>
      <c r="G28" t="n">
        <v>7.5</v>
      </c>
      <c r="L28" t="n">
        <v>7.5</v>
      </c>
    </row>
    <row r="29">
      <c r="A29" s="64" t="n"/>
      <c r="B29" s="31" t="inlineStr">
        <is>
          <t xml:space="preserve">Fotonik </t>
        </is>
      </c>
      <c r="C29" s="64" t="n"/>
      <c r="D29" s="64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</row>
    <row r="30">
      <c r="B30" t="inlineStr">
        <is>
          <t>Aktuella forskningsområden i fysik</t>
        </is>
      </c>
      <c r="C30" s="40" t="inlineStr">
        <is>
          <t>5FY212</t>
        </is>
      </c>
      <c r="G30" t="n">
        <v>7.5</v>
      </c>
      <c r="L30" t="n">
        <v>7.5</v>
      </c>
    </row>
    <row r="31">
      <c r="B31" t="inlineStr">
        <is>
          <t>Atom- och molekylfysik</t>
        </is>
      </c>
      <c r="C31" s="40" t="inlineStr">
        <is>
          <t>5FY213</t>
        </is>
      </c>
      <c r="G31" t="n">
        <v>7.5</v>
      </c>
      <c r="L31" t="n">
        <v>7.5</v>
      </c>
    </row>
    <row r="32">
      <c r="B32" t="inlineStr">
        <is>
          <t>Avancerade lasersystem och laserteknologi</t>
        </is>
      </c>
      <c r="C32" s="40" t="inlineStr">
        <is>
          <t>5FY189</t>
        </is>
      </c>
      <c r="G32" t="n">
        <v>7.5</v>
      </c>
      <c r="L32" t="n">
        <v>7.5</v>
      </c>
    </row>
    <row r="33">
      <c r="B33" t="inlineStr">
        <is>
          <t>Beröringsfria mätmetoder</t>
        </is>
      </c>
      <c r="C33" s="40" t="inlineStr">
        <is>
          <t>5FY197</t>
        </is>
      </c>
      <c r="G33" t="n">
        <v>7.5</v>
      </c>
      <c r="L33" t="n">
        <v>7.5</v>
      </c>
    </row>
    <row r="34">
      <c r="B34" t="inlineStr">
        <is>
          <t>Icke-linjär fysik</t>
        </is>
      </c>
      <c r="C34" s="40" t="inlineStr">
        <is>
          <t>5FY196</t>
        </is>
      </c>
      <c r="G34" t="n">
        <v>7.5</v>
      </c>
      <c r="L34" t="n">
        <v>7.5</v>
      </c>
    </row>
    <row r="35">
      <c r="B35" t="inlineStr">
        <is>
          <t>Laserbaserade spektroskopiska mätmetoder</t>
        </is>
      </c>
      <c r="C35" s="40" t="inlineStr">
        <is>
          <t>5FY192</t>
        </is>
      </c>
      <c r="G35" t="n">
        <v>7.5</v>
      </c>
      <c r="L35" t="n">
        <v>7.5</v>
      </c>
    </row>
    <row r="36">
      <c r="B36" t="inlineStr">
        <is>
          <t>Laserfysik</t>
        </is>
      </c>
      <c r="C36" s="40" t="inlineStr">
        <is>
          <t>5FY175</t>
        </is>
      </c>
      <c r="G36" t="n">
        <v>7.5</v>
      </c>
      <c r="L36" t="n">
        <v>7.5</v>
      </c>
    </row>
    <row r="37">
      <c r="B37" t="inlineStr">
        <is>
          <t>Optisk konstruktion</t>
        </is>
      </c>
      <c r="C37" s="40" t="inlineStr">
        <is>
          <t>5FY194</t>
        </is>
      </c>
      <c r="G37" t="n">
        <v>7.5</v>
      </c>
      <c r="L37" t="n">
        <v>7.5</v>
      </c>
    </row>
    <row r="38">
      <c r="A38" s="64" t="n"/>
      <c r="B38" s="31" t="inlineStr">
        <is>
          <t>Sjukhusfysik</t>
        </is>
      </c>
      <c r="C38" s="64" t="n"/>
      <c r="D38" s="64" t="n"/>
      <c r="E38" s="65" t="n"/>
      <c r="F38" s="65" t="n"/>
      <c r="G38" s="65" t="n"/>
      <c r="H38" s="65" t="n"/>
      <c r="I38" s="65" t="n"/>
      <c r="J38" s="65" t="n"/>
      <c r="K38" s="65" t="n"/>
      <c r="L38" s="65" t="n"/>
      <c r="M38" s="65" t="n"/>
      <c r="N38" s="65" t="n"/>
      <c r="O38" s="65" t="n"/>
      <c r="P38" s="65" t="n"/>
      <c r="Q38" s="65" t="n"/>
      <c r="R38" s="65" t="n"/>
      <c r="S38" s="65" t="n"/>
      <c r="T38" s="65" t="n"/>
    </row>
    <row r="39">
      <c r="B39" t="inlineStr">
        <is>
          <t xml:space="preserve">Nukleärmedicinsk teknik </t>
        </is>
      </c>
      <c r="G39" t="n">
        <v>7.5</v>
      </c>
      <c r="L39" t="n">
        <v>7.5</v>
      </c>
    </row>
    <row r="40">
      <c r="B40" t="inlineStr">
        <is>
          <t>Strålningsväxelverkan</t>
        </is>
      </c>
      <c r="G40" t="n">
        <v>7.5</v>
      </c>
      <c r="L40" t="n">
        <v>7.5</v>
      </c>
    </row>
    <row r="41">
      <c r="B41" t="inlineStr">
        <is>
          <t>Radioterapi</t>
        </is>
      </c>
      <c r="G41" t="n">
        <v>5</v>
      </c>
      <c r="L41" t="n">
        <v>5</v>
      </c>
    </row>
    <row r="42">
      <c r="B42" t="inlineStr">
        <is>
          <t>Röntgenteknik</t>
        </is>
      </c>
      <c r="G42" t="n">
        <v>7.5</v>
      </c>
      <c r="L42" t="n">
        <v>7.5</v>
      </c>
    </row>
    <row r="43">
      <c r="B43" t="inlineStr">
        <is>
          <t>Strålningsbiologi och strålskydd</t>
        </is>
      </c>
      <c r="G43" t="n">
        <v>7.5</v>
      </c>
      <c r="L43" t="n">
        <v>7.5</v>
      </c>
    </row>
    <row r="44">
      <c r="B44" t="inlineStr">
        <is>
          <t>Strålningsdosimetri</t>
        </is>
      </c>
      <c r="G44" t="n">
        <v>15</v>
      </c>
      <c r="L44" t="n">
        <v>15</v>
      </c>
    </row>
    <row r="45">
      <c r="B45" t="inlineStr">
        <is>
          <t>Tillämpad dosimetri</t>
        </is>
      </c>
      <c r="G45" t="n">
        <v>5</v>
      </c>
      <c r="L45" t="n">
        <v>5</v>
      </c>
    </row>
    <row r="46">
      <c r="A46" s="64" t="n"/>
      <c r="B46" s="31" t="inlineStr">
        <is>
          <t>Medicinsk teknik</t>
        </is>
      </c>
      <c r="C46" s="64" t="n"/>
      <c r="D46" s="64" t="n"/>
      <c r="E46" s="65" t="n"/>
      <c r="F46" s="65" t="n"/>
      <c r="G46" s="65" t="n"/>
      <c r="H46" s="65" t="n"/>
      <c r="I46" s="65" t="n"/>
      <c r="J46" s="65" t="n"/>
      <c r="K46" s="65" t="n"/>
      <c r="L46" s="65" t="n"/>
      <c r="M46" s="65" t="n"/>
      <c r="N46" s="65" t="n"/>
      <c r="O46" s="65" t="n"/>
      <c r="P46" s="65" t="n"/>
      <c r="Q46" s="65" t="n"/>
      <c r="R46" s="65" t="n"/>
      <c r="S46" s="65" t="n"/>
      <c r="T46" s="65" t="n"/>
    </row>
    <row r="47">
      <c r="B47" t="inlineStr">
        <is>
          <t>Aktuella forskningsområden i fysik</t>
        </is>
      </c>
      <c r="C47" s="40" t="inlineStr">
        <is>
          <t>5FY212</t>
        </is>
      </c>
      <c r="G47" t="n">
        <v>7.5</v>
      </c>
      <c r="L47" t="n">
        <v>7.5</v>
      </c>
    </row>
    <row r="48">
      <c r="B48" t="inlineStr">
        <is>
          <t>Biomedicinska sensorer och analys</t>
        </is>
      </c>
      <c r="C48" s="40" t="inlineStr">
        <is>
          <t>5RA042</t>
        </is>
      </c>
      <c r="G48" t="n">
        <v>7.5</v>
      </c>
      <c r="L48" t="n">
        <v>7.5</v>
      </c>
    </row>
    <row r="49">
      <c r="B49" t="inlineStr">
        <is>
          <t>Fysikens numeriska metoder</t>
        </is>
      </c>
      <c r="C49" s="40" t="inlineStr">
        <is>
          <t>5FY187</t>
        </is>
      </c>
      <c r="G49" t="n">
        <v>7.5</v>
      </c>
      <c r="L49" t="n">
        <v>7.5</v>
      </c>
    </row>
    <row r="50">
      <c r="B50" t="inlineStr">
        <is>
          <t>Modellering och simulering</t>
        </is>
      </c>
      <c r="C50" s="40" t="inlineStr">
        <is>
          <t>5FY176</t>
        </is>
      </c>
      <c r="G50" t="n">
        <v>7.5</v>
      </c>
      <c r="L50" t="n">
        <v>7.5</v>
      </c>
    </row>
    <row r="51">
      <c r="B51" t="inlineStr">
        <is>
          <t>Molekylspektroskopi med tillämpningar</t>
        </is>
      </c>
      <c r="C51" s="40" t="inlineStr">
        <is>
          <t>5FY181</t>
        </is>
      </c>
      <c r="G51" t="n">
        <v>7.5</v>
      </c>
      <c r="L51" t="n">
        <v>7.5</v>
      </c>
    </row>
    <row r="52">
      <c r="B52" t="inlineStr">
        <is>
          <t>Tillämpad digital signalbehandling</t>
        </is>
      </c>
      <c r="C52" s="40" t="inlineStr">
        <is>
          <t>5EL262</t>
        </is>
      </c>
      <c r="G52" t="n">
        <v>7.5</v>
      </c>
      <c r="L52" t="n">
        <v>7.5</v>
      </c>
    </row>
    <row r="53">
      <c r="B53" t="inlineStr">
        <is>
          <t>Tillämpad medicinsk bildbehandling</t>
        </is>
      </c>
      <c r="C53" s="40" t="inlineStr">
        <is>
          <t>5RA033</t>
        </is>
      </c>
      <c r="G53" t="n">
        <v>7.5</v>
      </c>
      <c r="L53" t="n">
        <v>7.5</v>
      </c>
    </row>
    <row r="54">
      <c r="A54" s="64" t="n"/>
      <c r="B54" s="31" t="inlineStr">
        <is>
          <t>Nanoteknik och avancerade material</t>
        </is>
      </c>
      <c r="C54" s="64" t="n"/>
      <c r="D54" s="64" t="n"/>
      <c r="E54" s="65" t="n"/>
      <c r="F54" s="65" t="n"/>
      <c r="G54" s="65" t="n"/>
      <c r="H54" s="65" t="n"/>
      <c r="I54" s="65" t="n"/>
      <c r="J54" s="65" t="n"/>
      <c r="K54" s="65" t="n"/>
      <c r="L54" s="65" t="n"/>
      <c r="M54" s="65" t="n"/>
      <c r="N54" s="65" t="n"/>
      <c r="O54" s="65" t="n"/>
      <c r="P54" s="65" t="n"/>
      <c r="Q54" s="65" t="n"/>
      <c r="R54" s="65" t="n"/>
      <c r="S54" s="65" t="n"/>
      <c r="T54" s="65" t="n"/>
    </row>
    <row r="55">
      <c r="B55" t="inlineStr">
        <is>
          <t>Aktuella forskningsområden i fysik</t>
        </is>
      </c>
      <c r="C55" s="40" t="inlineStr">
        <is>
          <t>5FY212</t>
        </is>
      </c>
      <c r="G55" t="n">
        <v>7.5</v>
      </c>
      <c r="L55" t="n">
        <v>7.5</v>
      </c>
    </row>
    <row r="56">
      <c r="B56" t="inlineStr">
        <is>
          <t>Atom- och molekylfysik</t>
        </is>
      </c>
      <c r="C56" s="40" t="inlineStr">
        <is>
          <t>5FY213</t>
        </is>
      </c>
      <c r="G56" t="n">
        <v>7.5</v>
      </c>
      <c r="L56" t="n">
        <v>7.5</v>
      </c>
    </row>
    <row r="57">
      <c r="B57" t="inlineStr">
        <is>
          <t>Avancerade material</t>
        </is>
      </c>
      <c r="C57" s="40" t="inlineStr">
        <is>
          <t>5FY178</t>
        </is>
      </c>
      <c r="G57" t="n">
        <v>7.5</v>
      </c>
      <c r="L57" t="n">
        <v>7.5</v>
      </c>
    </row>
    <row r="58">
      <c r="B58" t="inlineStr">
        <is>
          <t>Beröringsfria mätmetoder</t>
        </is>
      </c>
      <c r="C58" s="40" t="inlineStr">
        <is>
          <t>5FY197</t>
        </is>
      </c>
      <c r="G58" t="n">
        <v>7.5</v>
      </c>
      <c r="L58" t="n">
        <v>7.5</v>
      </c>
    </row>
    <row r="59">
      <c r="B59" t="inlineStr">
        <is>
          <t>Nanovetenskap</t>
        </is>
      </c>
      <c r="C59" s="40" t="inlineStr">
        <is>
          <t>5FY182</t>
        </is>
      </c>
      <c r="G59" t="n">
        <v>7.5</v>
      </c>
      <c r="L59" t="n">
        <v>7.5</v>
      </c>
    </row>
    <row r="60">
      <c r="B60" t="inlineStr">
        <is>
          <t>Solceller</t>
        </is>
      </c>
      <c r="C60" s="40" t="inlineStr">
        <is>
          <t>5FY185</t>
        </is>
      </c>
      <c r="G60" t="n">
        <v>7.5</v>
      </c>
      <c r="L60" t="n">
        <v>7.5</v>
      </c>
    </row>
    <row r="61">
      <c r="A61" s="64" t="n"/>
      <c r="B61" s="31" t="inlineStr">
        <is>
          <t>Robotik</t>
        </is>
      </c>
      <c r="C61" s="64" t="n"/>
      <c r="D61" s="64" t="n"/>
      <c r="E61" s="65" t="n"/>
      <c r="F61" s="65" t="n"/>
      <c r="G61" s="65" t="n"/>
      <c r="H61" s="65" t="n"/>
      <c r="I61" s="65" t="n"/>
      <c r="J61" s="65" t="n"/>
      <c r="K61" s="65" t="n"/>
      <c r="L61" s="65" t="n"/>
      <c r="M61" s="65" t="n"/>
      <c r="N61" s="65" t="n"/>
      <c r="O61" s="65" t="n"/>
      <c r="P61" s="65" t="n"/>
      <c r="Q61" s="65" t="n"/>
      <c r="R61" s="65" t="n"/>
      <c r="S61" s="65" t="n"/>
      <c r="T61" s="65" t="n"/>
    </row>
    <row r="62">
      <c r="B62" t="inlineStr">
        <is>
          <t>Aktuella forskningsområden i fysik</t>
        </is>
      </c>
      <c r="C62" s="40" t="inlineStr">
        <is>
          <t>5FY212</t>
        </is>
      </c>
      <c r="G62" t="n">
        <v>7.5</v>
      </c>
      <c r="L62" t="n">
        <v>7.5</v>
      </c>
    </row>
    <row r="63">
      <c r="B63" t="inlineStr">
        <is>
          <t>Adaptiv reglerteknik</t>
        </is>
      </c>
      <c r="C63" s="40" t="inlineStr">
        <is>
          <t>5EL246</t>
        </is>
      </c>
      <c r="G63" t="n">
        <v>7.5</v>
      </c>
      <c r="L63" t="n">
        <v>7.5</v>
      </c>
    </row>
    <row r="64">
      <c r="B64" t="inlineStr">
        <is>
          <t>Linjära reglersystem</t>
        </is>
      </c>
      <c r="C64" s="40" t="inlineStr">
        <is>
          <t>5EL263</t>
        </is>
      </c>
      <c r="G64" t="n">
        <v>7.5</v>
      </c>
      <c r="L64" t="n">
        <v>7.5</v>
      </c>
    </row>
    <row r="65">
      <c r="B65" t="inlineStr">
        <is>
          <t>Mekatronik</t>
        </is>
      </c>
      <c r="C65" s="40" t="inlineStr">
        <is>
          <t>5EL252</t>
        </is>
      </c>
      <c r="G65" t="n">
        <v>7.5</v>
      </c>
      <c r="L65" t="n">
        <v>7.5</v>
      </c>
    </row>
    <row r="66">
      <c r="B66" t="inlineStr">
        <is>
          <t>Modellering inom robotik</t>
        </is>
      </c>
      <c r="C66" s="40" t="inlineStr">
        <is>
          <t>5EL254</t>
        </is>
      </c>
      <c r="G66" t="n">
        <v>7.5</v>
      </c>
      <c r="L66" t="n">
        <v>7.5</v>
      </c>
    </row>
    <row r="67">
      <c r="B67" t="inlineStr">
        <is>
          <t>Modellering och simulering</t>
        </is>
      </c>
      <c r="C67" s="40" t="inlineStr">
        <is>
          <t>5FY176</t>
        </is>
      </c>
      <c r="G67" t="n">
        <v>7.5</v>
      </c>
      <c r="L67" t="n">
        <v>7.5</v>
      </c>
    </row>
    <row r="68">
      <c r="B68" t="inlineStr">
        <is>
          <t>Optimal reglering av linjära system</t>
        </is>
      </c>
      <c r="C68" s="40" t="inlineStr">
        <is>
          <t>5EL140</t>
        </is>
      </c>
      <c r="G68" t="n">
        <v>7.5</v>
      </c>
      <c r="L68" t="n">
        <v>7.5</v>
      </c>
    </row>
    <row r="69">
      <c r="B69" t="inlineStr">
        <is>
          <t>Projektkurs i datorseende</t>
        </is>
      </c>
      <c r="C69" s="40" t="inlineStr">
        <is>
          <t>5DV190</t>
        </is>
      </c>
      <c r="G69" t="n">
        <v>7.5</v>
      </c>
      <c r="L69" t="n">
        <v>7.5</v>
      </c>
    </row>
    <row r="70">
      <c r="B70" t="inlineStr">
        <is>
          <t>System och algoritmer för autonoma fordon</t>
        </is>
      </c>
      <c r="C70" s="40" t="inlineStr">
        <is>
          <t>5EL272</t>
        </is>
      </c>
      <c r="G70" t="n">
        <v>7.5</v>
      </c>
      <c r="L70" t="n">
        <v>7.5</v>
      </c>
    </row>
    <row r="71">
      <c r="B71" t="inlineStr">
        <is>
          <t>Telerobotik och tillämpad sensorfusion</t>
        </is>
      </c>
      <c r="C71" s="40" t="inlineStr">
        <is>
          <t>5EL259</t>
        </is>
      </c>
      <c r="G71" t="n">
        <v>7.5</v>
      </c>
      <c r="L71" t="n">
        <v>7.5</v>
      </c>
    </row>
    <row r="72">
      <c r="A72" s="64" t="n"/>
      <c r="B72" s="31" t="inlineStr">
        <is>
          <t>Rymd- och astrofysik</t>
        </is>
      </c>
      <c r="C72" s="64" t="n"/>
      <c r="D72" s="64" t="n"/>
      <c r="E72" s="65" t="n"/>
      <c r="F72" s="65" t="n"/>
      <c r="G72" s="65" t="n"/>
      <c r="H72" s="65" t="n"/>
      <c r="I72" s="65" t="n"/>
      <c r="J72" s="65" t="n"/>
      <c r="K72" s="65" t="n"/>
      <c r="L72" s="65" t="n"/>
      <c r="M72" s="65" t="n"/>
      <c r="N72" s="65" t="n"/>
      <c r="O72" s="65" t="n"/>
      <c r="P72" s="65" t="n"/>
      <c r="Q72" s="65" t="n"/>
      <c r="R72" s="65" t="n"/>
      <c r="S72" s="65" t="n"/>
      <c r="T72" s="65" t="n"/>
    </row>
    <row r="73">
      <c r="B73" t="inlineStr">
        <is>
          <t>Aktuella forskningsområden i fysik</t>
        </is>
      </c>
      <c r="C73" s="40" t="inlineStr">
        <is>
          <t>5FY212</t>
        </is>
      </c>
      <c r="G73" t="n">
        <v>7.5</v>
      </c>
      <c r="L73" t="n">
        <v>7.5</v>
      </c>
    </row>
    <row r="74">
      <c r="A74" s="107" t="inlineStr">
        <is>
          <t>x</t>
        </is>
      </c>
      <c r="B74" t="inlineStr">
        <is>
          <t>Allmän relativitetsteori</t>
        </is>
      </c>
      <c r="C74" s="40" t="inlineStr">
        <is>
          <t>5FY193</t>
        </is>
      </c>
      <c r="G74" t="n">
        <v>7.5</v>
      </c>
      <c r="L74" t="n">
        <v>7.5</v>
      </c>
    </row>
    <row r="75">
      <c r="A75" s="107" t="inlineStr">
        <is>
          <t>x</t>
        </is>
      </c>
      <c r="B75" t="inlineStr">
        <is>
          <t>Astrofysik</t>
        </is>
      </c>
      <c r="C75" s="40" t="inlineStr">
        <is>
          <t>5FY195</t>
        </is>
      </c>
      <c r="G75" t="n">
        <v>7.5</v>
      </c>
      <c r="L75" t="n">
        <v>7.5</v>
      </c>
    </row>
    <row r="76">
      <c r="B76" t="inlineStr">
        <is>
          <t>Avancerad strömningslära</t>
        </is>
      </c>
      <c r="C76" s="40" t="inlineStr">
        <is>
          <t>5FY191</t>
        </is>
      </c>
      <c r="G76" t="n">
        <v>7.5</v>
      </c>
      <c r="L76" t="n">
        <v>7.5</v>
      </c>
    </row>
    <row r="77">
      <c r="B77" t="inlineStr">
        <is>
          <t>Elektrodynamik II</t>
        </is>
      </c>
      <c r="C77" s="40" t="inlineStr">
        <is>
          <t>5FY170</t>
        </is>
      </c>
      <c r="G77" t="n">
        <v>7.5</v>
      </c>
      <c r="L77" t="n">
        <v>7.5</v>
      </c>
    </row>
    <row r="78">
      <c r="A78" s="107" t="inlineStr">
        <is>
          <t>x</t>
        </is>
      </c>
      <c r="B78" t="inlineStr">
        <is>
          <t>Rymdplasmafysik</t>
        </is>
      </c>
      <c r="C78" s="40" t="inlineStr">
        <is>
          <t>5FY184</t>
        </is>
      </c>
      <c r="G78" t="n">
        <v>7.5</v>
      </c>
      <c r="L78" t="n">
        <v>7.5</v>
      </c>
    </row>
    <row r="79">
      <c r="B79" t="inlineStr">
        <is>
          <t>Rymdfysik med mätteknik</t>
        </is>
      </c>
      <c r="C79" s="40" t="inlineStr">
        <is>
          <t>5FY183</t>
        </is>
      </c>
      <c r="G79" t="n">
        <v>7.5</v>
      </c>
      <c r="L79" t="n">
        <v>7.5</v>
      </c>
    </row>
    <row r="80">
      <c r="A80" s="64" t="n"/>
      <c r="B80" s="31" t="inlineStr">
        <is>
          <t>Sensorteknik och dataanalys</t>
        </is>
      </c>
      <c r="C80" s="64" t="n"/>
      <c r="D80" s="64" t="n"/>
      <c r="E80" s="65" t="n"/>
      <c r="F80" s="65" t="n"/>
      <c r="G80" s="65" t="n"/>
      <c r="H80" s="65" t="n"/>
      <c r="I80" s="65" t="n"/>
      <c r="J80" s="65" t="n"/>
      <c r="K80" s="65" t="n"/>
      <c r="L80" s="65" t="n"/>
      <c r="M80" s="65" t="n"/>
      <c r="N80" s="65" t="n"/>
      <c r="O80" s="65" t="n"/>
      <c r="P80" s="65" t="n"/>
      <c r="Q80" s="65" t="n"/>
      <c r="R80" s="65" t="n"/>
      <c r="S80" s="65" t="n"/>
      <c r="T80" s="65" t="n"/>
    </row>
    <row r="81">
      <c r="B81" t="inlineStr">
        <is>
          <t>Aktuella forskningsområden i fysik</t>
        </is>
      </c>
      <c r="C81" s="40" t="inlineStr">
        <is>
          <t>5FY212</t>
        </is>
      </c>
      <c r="G81" t="n">
        <v>7.5</v>
      </c>
      <c r="L81" t="n">
        <v>7.5</v>
      </c>
    </row>
    <row r="82">
      <c r="B82" t="inlineStr">
        <is>
          <t>Beröringsfria mätmetoder</t>
        </is>
      </c>
      <c r="C82" s="40" t="inlineStr">
        <is>
          <t>5FY197</t>
        </is>
      </c>
      <c r="G82" t="n">
        <v>7.5</v>
      </c>
      <c r="L82" t="n">
        <v>7.5</v>
      </c>
    </row>
    <row r="83">
      <c r="B83" t="inlineStr">
        <is>
          <t>Big data och analys av högdimensionella data</t>
        </is>
      </c>
      <c r="C83" s="40" t="inlineStr">
        <is>
          <t>5MS062</t>
        </is>
      </c>
      <c r="G83" t="n">
        <v>7.5</v>
      </c>
      <c r="L83" t="n">
        <v>7.5</v>
      </c>
    </row>
    <row r="84">
      <c r="B84" t="inlineStr">
        <is>
          <t>Datorintensiva statistiska metoder</t>
        </is>
      </c>
      <c r="C84" s="40" t="inlineStr">
        <is>
          <t>5MS056</t>
        </is>
      </c>
      <c r="G84" t="n">
        <v>7.5</v>
      </c>
      <c r="L84" t="n">
        <v>7.5</v>
      </c>
    </row>
    <row r="85">
      <c r="B85" t="inlineStr">
        <is>
          <t>Multivariat dataanalys</t>
        </is>
      </c>
      <c r="C85" s="40" t="inlineStr">
        <is>
          <t>5MS056</t>
        </is>
      </c>
      <c r="G85" t="n">
        <v>7.5</v>
      </c>
      <c r="L85" t="n">
        <v>7.5</v>
      </c>
    </row>
    <row r="86">
      <c r="B86" t="inlineStr">
        <is>
          <t>Tidsserieanalys och spatial statistik</t>
        </is>
      </c>
      <c r="C86" s="40" t="inlineStr">
        <is>
          <t>5MS067</t>
        </is>
      </c>
      <c r="G86" t="n">
        <v>7.5</v>
      </c>
      <c r="L86" t="n">
        <v>7.5</v>
      </c>
    </row>
    <row r="87">
      <c r="B87" t="inlineStr">
        <is>
          <t>Tillämpad digital signalbehandling</t>
        </is>
      </c>
      <c r="C87" s="40" t="inlineStr">
        <is>
          <t>5EL262</t>
        </is>
      </c>
      <c r="G87" t="n">
        <v>7.5</v>
      </c>
      <c r="L87" t="n">
        <v>7.5</v>
      </c>
    </row>
    <row r="88">
      <c r="A88" s="64" t="n"/>
      <c r="B88" s="31" t="inlineStr">
        <is>
          <t>Teoretisk Fysik</t>
        </is>
      </c>
      <c r="C88" s="64" t="n"/>
      <c r="D88" s="64" t="n"/>
      <c r="E88" s="65" t="n"/>
      <c r="F88" s="65" t="n"/>
      <c r="G88" s="65" t="n"/>
      <c r="H88" s="65" t="n"/>
      <c r="I88" s="65" t="n"/>
      <c r="J88" s="65" t="n"/>
      <c r="K88" s="65" t="n"/>
      <c r="L88" s="65" t="n"/>
      <c r="M88" s="65" t="n"/>
      <c r="N88" s="65" t="n"/>
      <c r="O88" s="65" t="n"/>
      <c r="P88" s="65" t="n"/>
      <c r="Q88" s="65" t="n"/>
      <c r="R88" s="65" t="n"/>
      <c r="S88" s="65" t="n"/>
      <c r="T88" s="65" t="n"/>
    </row>
    <row r="89">
      <c r="B89" t="inlineStr">
        <is>
          <t>Aktuella forskningsområden i fysik</t>
        </is>
      </c>
      <c r="C89" s="40" t="inlineStr">
        <is>
          <t>5FY212</t>
        </is>
      </c>
      <c r="G89" t="n">
        <v>7.5</v>
      </c>
      <c r="L89" t="n">
        <v>7.5</v>
      </c>
    </row>
    <row r="90">
      <c r="B90" t="inlineStr">
        <is>
          <t>Allmän relativitetsteori</t>
        </is>
      </c>
      <c r="C90" s="40" t="inlineStr">
        <is>
          <t>5FY193</t>
        </is>
      </c>
      <c r="G90" t="n">
        <v>7.5</v>
      </c>
      <c r="L90" t="n">
        <v>7.5</v>
      </c>
    </row>
    <row r="91">
      <c r="B91" t="inlineStr">
        <is>
          <t>Astrofysik</t>
        </is>
      </c>
      <c r="C91" s="40" t="inlineStr">
        <is>
          <t>5FY195</t>
        </is>
      </c>
      <c r="G91" t="n">
        <v>7.5</v>
      </c>
      <c r="L91" t="n">
        <v>7.5</v>
      </c>
    </row>
    <row r="92">
      <c r="B92" t="inlineStr">
        <is>
          <t>Elektrodynamik II</t>
        </is>
      </c>
      <c r="C92" s="40" t="inlineStr">
        <is>
          <t>5FY170</t>
        </is>
      </c>
      <c r="G92" t="n">
        <v>7.5</v>
      </c>
      <c r="L92" t="n">
        <v>7.5</v>
      </c>
    </row>
    <row r="93">
      <c r="B93" t="inlineStr">
        <is>
          <t>Ickelinjär fysik</t>
        </is>
      </c>
      <c r="C93" s="40" t="inlineStr">
        <is>
          <t>5FY196</t>
        </is>
      </c>
      <c r="G93" t="n">
        <v>7.5</v>
      </c>
      <c r="L93" t="n">
        <v>7.5</v>
      </c>
    </row>
    <row r="94">
      <c r="B94" t="inlineStr">
        <is>
          <t>Kvantfältteori I</t>
        </is>
      </c>
      <c r="C94" s="40" t="inlineStr">
        <is>
          <t>5FY179</t>
        </is>
      </c>
      <c r="G94" t="n">
        <v>7.5</v>
      </c>
      <c r="L94" t="n">
        <v>7.5</v>
      </c>
    </row>
    <row r="95">
      <c r="B95" t="inlineStr">
        <is>
          <t>Kvantfältteori II</t>
        </is>
      </c>
      <c r="C95" s="40" t="inlineStr">
        <is>
          <t>5FY180</t>
        </is>
      </c>
      <c r="G95" t="n">
        <v>7.5</v>
      </c>
      <c r="L95" t="n">
        <v>7.5</v>
      </c>
    </row>
    <row r="96">
      <c r="A96" s="107" t="inlineStr">
        <is>
          <t>x</t>
        </is>
      </c>
      <c r="B96" t="inlineStr">
        <is>
          <t>Kvantmekanik 2</t>
        </is>
      </c>
      <c r="C96" s="40" t="inlineStr">
        <is>
          <t>5FY174</t>
        </is>
      </c>
      <c r="G96" t="n">
        <v>7.5</v>
      </c>
      <c r="L96" t="n">
        <v>7.5</v>
      </c>
    </row>
    <row r="97">
      <c r="B97" t="inlineStr">
        <is>
          <t>Rymdplasmafysik</t>
        </is>
      </c>
      <c r="C97" s="40" t="inlineStr">
        <is>
          <t>5FY184</t>
        </is>
      </c>
      <c r="G97" t="n">
        <v>7.5</v>
      </c>
      <c r="L97" t="n">
        <v>7.5</v>
      </c>
    </row>
    <row r="98"/>
    <row r="99"/>
    <row r="100"/>
  </sheetData>
  <mergeCells count="5">
    <mergeCell ref="G2:T2"/>
    <mergeCell ref="H3:T3"/>
    <mergeCell ref="H4:J4"/>
    <mergeCell ref="K4:L4"/>
    <mergeCell ref="M4:T4"/>
  </mergeCells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Blad3">
    <outlinePr summaryBelow="1" summaryRight="1"/>
    <pageSetUpPr/>
  </sheetPr>
  <dimension ref="A1:S100"/>
  <sheetViews>
    <sheetView zoomScaleNormal="100" workbookViewId="0">
      <selection activeCell="B8" sqref="B8"/>
    </sheetView>
  </sheetViews>
  <sheetFormatPr baseColWidth="8" defaultColWidth="8.85546875" defaultRowHeight="15"/>
  <cols>
    <col width="8.28515625" bestFit="1" customWidth="1" style="59" min="1" max="1"/>
    <col width="9.85546875" bestFit="1" customWidth="1" style="59" min="2" max="2"/>
    <col width="18.7109375" bestFit="1" customWidth="1" style="40" min="3" max="3"/>
    <col width="22.28515625" bestFit="1" customWidth="1" style="59" min="4" max="4"/>
    <col width="29.7109375" bestFit="1" customWidth="1" style="59" min="5" max="5"/>
    <col width="4.140625" bestFit="1" customWidth="1" style="59" min="6" max="6"/>
    <col width="6.85546875" bestFit="1" customWidth="1" style="59" min="7" max="7"/>
    <col width="8" bestFit="1" customWidth="1" style="59" min="8" max="8"/>
    <col width="4" bestFit="1" customWidth="1" style="59" min="9" max="9"/>
    <col width="7" customWidth="1" style="59" min="10" max="10"/>
    <col width="5.7109375" customWidth="1" style="59" min="11" max="11"/>
    <col width="3.42578125" bestFit="1" customWidth="1" style="59" min="12" max="12"/>
    <col width="4.42578125" bestFit="1" customWidth="1" style="59" min="13" max="13"/>
    <col width="6.85546875" bestFit="1" customWidth="1" style="59" min="14" max="14"/>
    <col width="6.7109375" bestFit="1" customWidth="1" style="59" min="15" max="15"/>
    <col width="6" bestFit="1" customWidth="1" style="59" min="16" max="16"/>
    <col width="4.140625" bestFit="1" customWidth="1" style="59" min="17" max="17"/>
    <col width="5" bestFit="1" customWidth="1" style="59" min="18" max="18"/>
    <col width="4.42578125" bestFit="1" customWidth="1" style="59" min="19" max="19"/>
  </cols>
  <sheetData>
    <row r="1">
      <c r="A1" s="40" t="n"/>
    </row>
    <row r="2">
      <c r="A2" s="40" t="n"/>
      <c r="F2" s="105">
        <f>Sammanfattning!G20</f>
        <v/>
      </c>
      <c r="G2" s="97" t="n"/>
      <c r="H2" s="97" t="n"/>
      <c r="I2" s="97" t="n"/>
      <c r="J2" s="97" t="n"/>
      <c r="K2" s="97" t="n"/>
      <c r="L2" s="97" t="n"/>
      <c r="M2" s="97" t="n"/>
      <c r="N2" s="97" t="n"/>
      <c r="O2" s="97" t="n"/>
      <c r="P2" s="97" t="n"/>
      <c r="Q2" s="97" t="n"/>
      <c r="R2" s="97" t="n"/>
      <c r="S2" s="98" t="n"/>
    </row>
    <row r="3">
      <c r="A3" s="40" t="n"/>
      <c r="F3" s="66" t="n"/>
      <c r="G3" s="105">
        <f>Sammanfattning!H21</f>
        <v/>
      </c>
      <c r="H3" s="97" t="n"/>
      <c r="I3" s="97" t="n"/>
      <c r="J3" s="97" t="n"/>
      <c r="K3" s="97" t="n"/>
      <c r="L3" s="97" t="n"/>
      <c r="M3" s="97" t="n"/>
      <c r="N3" s="97" t="n"/>
      <c r="O3" s="97" t="n"/>
      <c r="P3" s="97" t="n"/>
      <c r="Q3" s="97" t="n"/>
      <c r="R3" s="97" t="n"/>
      <c r="S3" s="98" t="n"/>
    </row>
    <row r="4">
      <c r="A4" s="40" t="n"/>
      <c r="G4" s="106">
        <f>Sammanfattning!H22</f>
        <v/>
      </c>
      <c r="H4" s="44" t="n"/>
      <c r="I4" s="99" t="n"/>
      <c r="J4" s="106">
        <f>Sammanfattning!K22</f>
        <v/>
      </c>
      <c r="K4" s="99" t="n"/>
      <c r="L4" s="106">
        <f>Sammanfattning!M22</f>
        <v/>
      </c>
      <c r="M4" s="44" t="n"/>
      <c r="N4" s="44" t="n"/>
      <c r="O4" s="44" t="n"/>
      <c r="P4" s="44" t="n"/>
      <c r="Q4" s="44" t="n"/>
      <c r="R4" s="44" t="n"/>
      <c r="S4" s="99" t="n"/>
    </row>
    <row r="5">
      <c r="A5" s="22">
        <f>Sammanfattning!A23</f>
        <v/>
      </c>
      <c r="B5" s="20">
        <f>Sammanfattning!B23</f>
        <v/>
      </c>
      <c r="C5" s="20">
        <f>Sammanfattning!C23</f>
        <v/>
      </c>
      <c r="D5" s="20">
        <f>Sammanfattning!E23</f>
        <v/>
      </c>
      <c r="E5" s="20">
        <f>Sammanfattning!F23</f>
        <v/>
      </c>
      <c r="F5" s="20">
        <f>Sammanfattning!G23</f>
        <v/>
      </c>
      <c r="G5" s="20">
        <f>Sammanfattning!H23</f>
        <v/>
      </c>
      <c r="H5" s="20">
        <f>Sammanfattning!I23</f>
        <v/>
      </c>
      <c r="I5" s="20">
        <f>Sammanfattning!J23</f>
        <v/>
      </c>
      <c r="J5" s="20">
        <f>Sammanfattning!K23</f>
        <v/>
      </c>
      <c r="K5" s="20">
        <f>Sammanfattning!L23</f>
        <v/>
      </c>
      <c r="L5" s="20">
        <f>Sammanfattning!M23</f>
        <v/>
      </c>
      <c r="M5" s="20">
        <f>Sammanfattning!N23</f>
        <v/>
      </c>
      <c r="N5" s="20">
        <f>Sammanfattning!O23</f>
        <v/>
      </c>
      <c r="O5" s="20">
        <f>Sammanfattning!P23</f>
        <v/>
      </c>
      <c r="P5" s="20">
        <f>Sammanfattning!Q23</f>
        <v/>
      </c>
      <c r="Q5" s="20">
        <f>Sammanfattning!R23</f>
        <v/>
      </c>
      <c r="R5" s="20">
        <f>Sammanfattning!S23</f>
        <v/>
      </c>
      <c r="S5" s="21">
        <f>Sammanfattning!T23</f>
        <v/>
      </c>
    </row>
    <row r="6">
      <c r="A6" s="39">
        <f>Sammanfattning!A24</f>
        <v/>
      </c>
      <c r="B6" s="36">
        <f>Sammanfattning!B24</f>
        <v/>
      </c>
      <c r="C6" s="36">
        <f>Sammanfattning!C24</f>
        <v/>
      </c>
      <c r="D6" s="36">
        <f>Sammanfattning!E24</f>
        <v/>
      </c>
      <c r="E6" s="36">
        <f>Sammanfattning!F24</f>
        <v/>
      </c>
      <c r="F6" s="36">
        <f>Sammanfattning!G24</f>
        <v/>
      </c>
      <c r="G6" s="36">
        <f>Sammanfattning!H24</f>
        <v/>
      </c>
      <c r="H6" s="36">
        <f>Sammanfattning!I24</f>
        <v/>
      </c>
      <c r="I6" s="36">
        <f>Sammanfattning!J24</f>
        <v/>
      </c>
      <c r="J6" s="36">
        <f>Sammanfattning!K24</f>
        <v/>
      </c>
      <c r="K6" s="36">
        <f>Sammanfattning!L24</f>
        <v/>
      </c>
      <c r="L6" s="36">
        <f>Sammanfattning!M24</f>
        <v/>
      </c>
      <c r="M6" s="36">
        <f>Sammanfattning!N24</f>
        <v/>
      </c>
      <c r="N6" s="36">
        <f>Sammanfattning!O24</f>
        <v/>
      </c>
      <c r="O6" s="36">
        <f>Sammanfattning!P24</f>
        <v/>
      </c>
      <c r="P6" s="36">
        <f>Sammanfattning!Q24</f>
        <v/>
      </c>
      <c r="Q6" s="36">
        <f>Sammanfattning!R24</f>
        <v/>
      </c>
      <c r="R6" s="36">
        <f>Sammanfattning!S24</f>
        <v/>
      </c>
      <c r="S6" s="37">
        <f>Sammanfattning!T24</f>
        <v/>
      </c>
    </row>
    <row r="7">
      <c r="A7" s="1" t="n"/>
    </row>
    <row r="8">
      <c r="A8" s="40" t="n"/>
    </row>
    <row r="9"/>
    <row r="10">
      <c r="C10" s="1" t="n"/>
    </row>
    <row r="11">
      <c r="C11" s="1" t="n"/>
    </row>
    <row r="12">
      <c r="C12" s="1" t="n"/>
    </row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</sheetData>
  <mergeCells count="5">
    <mergeCell ref="F2:S2"/>
    <mergeCell ref="G3:S3"/>
    <mergeCell ref="G4:I4"/>
    <mergeCell ref="J4:K4"/>
    <mergeCell ref="L4:S4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zoomScaleNormal="100" workbookViewId="0">
      <selection activeCell="A2" sqref="A2"/>
    </sheetView>
  </sheetViews>
  <sheetFormatPr baseColWidth="8" defaultColWidth="11.42578125" defaultRowHeight="15"/>
  <sheetData>
    <row r="1">
      <c r="A1" t="inlineStr">
        <is>
          <t>v0.01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Blad5">
    <outlinePr summaryBelow="1" summaryRight="1"/>
    <pageSetUpPr/>
  </sheetPr>
  <dimension ref="A1:F6"/>
  <sheetViews>
    <sheetView zoomScale="115" zoomScaleNormal="115" workbookViewId="0">
      <selection activeCell="F15" sqref="F15"/>
    </sheetView>
  </sheetViews>
  <sheetFormatPr baseColWidth="8" defaultColWidth="8.85546875" defaultRowHeight="15"/>
  <cols>
    <col width="49.7109375" customWidth="1" style="59" min="1" max="1"/>
    <col width="55" customWidth="1" style="59" min="6" max="6"/>
  </cols>
  <sheetData>
    <row r="1" ht="30" customHeight="1" s="59">
      <c r="A1" s="53" t="inlineStr">
        <is>
          <t>Välj ett alternativ. För annan anledning välj kommentar och skriv vilken anledning.</t>
        </is>
      </c>
      <c r="F1" t="inlineStr">
        <is>
          <t>Matematiska och beräkningsvetenskapliga verktyg</t>
        </is>
      </c>
    </row>
    <row r="2">
      <c r="A2" s="6" t="inlineStr">
        <is>
          <t>Ansökan om examen</t>
        </is>
      </c>
      <c r="F2" t="inlineStr">
        <is>
          <t>Statistisk analys och mätvärdesbehandling</t>
        </is>
      </c>
    </row>
    <row r="3">
      <c r="A3" s="6" t="inlineStr">
        <is>
          <t>Ansökan om examensarbete</t>
        </is>
      </c>
      <c r="F3" t="inlineStr">
        <is>
          <t>Fysikalisk teori med tillämpningar</t>
        </is>
      </c>
    </row>
    <row r="4">
      <c r="A4" s="6" t="inlineStr">
        <is>
          <t>Ansökan om utlandsstudier</t>
        </is>
      </c>
    </row>
    <row r="5">
      <c r="A5" s="6" t="inlineStr">
        <is>
          <t>Planering av studier</t>
        </is>
      </c>
    </row>
    <row r="6">
      <c r="A6" s="6" t="inlineStr">
        <is>
          <t>Kommentar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20"/>
  <sheetViews>
    <sheetView workbookViewId="0">
      <selection activeCell="A1" sqref="A1"/>
    </sheetView>
  </sheetViews>
  <sheetFormatPr baseColWidth="8" defaultRowHeight="15"/>
  <sheetData>
    <row r="1">
      <c r="A1" t="inlineStr">
        <is>
          <t>OBS! Lägg in dessa kurser manuellt under rätt flik.Töm denna kurslista innan du genererar sammanfattningen</t>
        </is>
      </c>
    </row>
    <row r="3">
      <c r="B3" s="108" t="inlineStr">
        <is>
          <t>Kursnamn</t>
        </is>
      </c>
    </row>
    <row r="4">
      <c r="B4" t="inlineStr">
        <is>
          <t>Datastrukturer och algoritmer (C)</t>
        </is>
      </c>
    </row>
    <row r="5">
      <c r="B5" t="inlineStr">
        <is>
          <t>Design-Build-Test, projektkurs för ingenjörer</t>
        </is>
      </c>
    </row>
    <row r="6">
      <c r="B6" t="inlineStr">
        <is>
          <t>Elektrodynamik 2</t>
        </is>
      </c>
    </row>
    <row r="7">
      <c r="B7" t="inlineStr">
        <is>
          <t xml:space="preserve">Endimensionell analys 1 </t>
        </is>
      </c>
    </row>
    <row r="8">
      <c r="B8" t="inlineStr">
        <is>
          <t>Examensarbete för civilingenjörsexamen i teknisk fysik</t>
        </is>
      </c>
    </row>
    <row r="9">
      <c r="B9" t="inlineStr">
        <is>
          <t>Fasta tillståndets fysik, 10,5 hp</t>
        </is>
      </c>
    </row>
    <row r="10">
      <c r="B10" t="inlineStr">
        <is>
          <t>Flervariabelanalys</t>
        </is>
      </c>
    </row>
    <row r="11">
      <c r="B11" t="inlineStr">
        <is>
          <t xml:space="preserve">Fysikaliska modellers matematik </t>
        </is>
      </c>
    </row>
    <row r="12">
      <c r="B12" t="inlineStr">
        <is>
          <t>Ingenjörens roll i arbetslivet</t>
        </is>
      </c>
    </row>
    <row r="13">
      <c r="B13" t="inlineStr">
        <is>
          <t>Kvalitetsprojekt inom Teknisk fysik, 3hp</t>
        </is>
      </c>
    </row>
    <row r="14">
      <c r="B14" t="inlineStr">
        <is>
          <t>Kvantfysik</t>
        </is>
      </c>
    </row>
    <row r="15">
      <c r="B15" t="inlineStr">
        <is>
          <t>Numeriska metoder för PDE</t>
        </is>
      </c>
    </row>
    <row r="16">
      <c r="B16" t="inlineStr">
        <is>
          <t xml:space="preserve">Statistik för tekniska fysiker </t>
        </is>
      </c>
    </row>
    <row r="17">
      <c r="B17" t="inlineStr">
        <is>
          <t>Statistisk fysik</t>
        </is>
      </c>
    </row>
    <row r="18">
      <c r="B18" t="inlineStr">
        <is>
          <t>Teknisk beräkningsvetenskap 1</t>
        </is>
      </c>
    </row>
    <row r="19">
      <c r="B19" t="inlineStr">
        <is>
          <t>Teknisk beräkningsvetenskap 2</t>
        </is>
      </c>
    </row>
    <row r="20">
      <c r="B20" t="inlineStr">
        <is>
          <t>Vågfysik och optik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Fritz FOrsgren</dc:creator>
  <dc:title xmlns:dc="http://purl.org/dc/elements/1.1/">Individuell studieplan</dc:title>
  <dcterms:created xmlns:dcterms="http://purl.org/dc/terms/" xmlns:xsi="http://www.w3.org/2001/XMLSchema-instance" xsi:type="dcterms:W3CDTF">2020-01-29T00:01:20Z</dcterms:created>
  <dcterms:modified xmlns:dcterms="http://purl.org/dc/terms/" xmlns:xsi="http://www.w3.org/2001/XMLSchema-instance" xsi:type="dcterms:W3CDTF">2020-02-26T13:07:09Z</dcterms:modified>
  <cp:lastModifiedBy>Johan</cp:lastModifiedBy>
  <cp:category>examensbilaga</cp:category>
  <cp:keywords>exam, teknisk fysik</cp:keywords>
</cp:coreProperties>
</file>