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lin\Downloads\"/>
    </mc:Choice>
  </mc:AlternateContent>
  <xr:revisionPtr revIDLastSave="0" documentId="8_{7CDED3E4-430C-4274-B330-09BCEF48A5F0}" xr6:coauthVersionLast="45" xr6:coauthVersionMax="45" xr10:uidLastSave="{00000000-0000-0000-0000-000000000000}"/>
  <bookViews>
    <workbookView xWindow="-108" yWindow="-108" windowWidth="23256" windowHeight="12576" tabRatio="728" xr2:uid="{00000000-000D-0000-FFFF-FFFF00000000}"/>
  </bookViews>
  <sheets>
    <sheet name="Instruktioner" sheetId="1" r:id="rId1"/>
    <sheet name="Sammanfattning" sheetId="2" r:id="rId2"/>
    <sheet name="Basterminer" sheetId="3" r:id="rId3"/>
    <sheet name="Allmänna ingenjörskurser" sheetId="4" r:id="rId4"/>
    <sheet name="Profilkurser" sheetId="5" r:id="rId5"/>
    <sheet name="Övriga kurser" sheetId="6" r:id="rId6"/>
    <sheet name="Patch notes" sheetId="7" r:id="rId7"/>
    <sheet name="Random code" sheetId="8" state="hidden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6" i="6" l="1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6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5" i="6"/>
  <c r="M4" i="6"/>
  <c r="K4" i="6"/>
  <c r="H4" i="6"/>
  <c r="H3" i="6"/>
  <c r="G2" i="6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6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5" i="5"/>
  <c r="M4" i="5"/>
  <c r="K4" i="5"/>
  <c r="H4" i="5"/>
  <c r="H3" i="5"/>
  <c r="G2" i="5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B6" i="4"/>
  <c r="A6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D5" i="4"/>
  <c r="C5" i="4"/>
  <c r="B5" i="4"/>
  <c r="A5" i="4"/>
  <c r="M4" i="4"/>
  <c r="K4" i="4"/>
  <c r="H4" i="4"/>
  <c r="H3" i="4"/>
  <c r="G2" i="4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U5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M4" i="3"/>
  <c r="K4" i="3"/>
  <c r="H4" i="3"/>
  <c r="H3" i="3"/>
  <c r="G2" i="3"/>
  <c r="D14" i="2"/>
  <c r="C14" i="2"/>
  <c r="A14" i="2"/>
  <c r="B49" i="1"/>
  <c r="A49" i="1"/>
  <c r="B48" i="1"/>
  <c r="A48" i="1"/>
  <c r="B47" i="1"/>
  <c r="A47" i="1"/>
  <c r="B46" i="1"/>
  <c r="A46" i="1"/>
  <c r="B45" i="1"/>
  <c r="A45" i="1"/>
  <c r="B44" i="1"/>
  <c r="B43" i="1"/>
  <c r="A43" i="1"/>
  <c r="B42" i="1"/>
  <c r="A42" i="1"/>
  <c r="B41" i="1"/>
  <c r="A41" i="1"/>
  <c r="B40" i="1"/>
  <c r="A40" i="1"/>
  <c r="B39" i="1"/>
  <c r="A39" i="1"/>
  <c r="B38" i="1"/>
  <c r="A38" i="1"/>
  <c r="B37" i="1"/>
  <c r="A37" i="1"/>
  <c r="B36" i="1"/>
  <c r="A36" i="1"/>
  <c r="B35" i="1"/>
  <c r="A35" i="1"/>
  <c r="B34" i="1"/>
  <c r="A34" i="1"/>
  <c r="B33" i="1"/>
  <c r="A33" i="1"/>
  <c r="B32" i="1"/>
  <c r="A32" i="1"/>
  <c r="B31" i="1"/>
  <c r="A31" i="1"/>
  <c r="B30" i="1"/>
  <c r="A30" i="1"/>
  <c r="B29" i="1"/>
  <c r="A29" i="1"/>
</calcChain>
</file>

<file path=xl/sharedStrings.xml><?xml version="1.0" encoding="utf-8"?>
<sst xmlns="http://schemas.openxmlformats.org/spreadsheetml/2006/main" count="316" uniqueCount="267">
  <si>
    <t>Instruktioner</t>
  </si>
  <si>
    <t>Sammanfattning</t>
  </si>
  <si>
    <t>Basterminer</t>
  </si>
  <si>
    <t>Allmänna ingenjörskurser</t>
  </si>
  <si>
    <t>Profilkurser</t>
  </si>
  <si>
    <t>Övriga kurser</t>
  </si>
  <si>
    <t>Patch notes</t>
  </si>
  <si>
    <t>Kurskod</t>
  </si>
  <si>
    <t>Datum för godkänt på kursen. Måste anges på formatet ååååmmdd.</t>
  </si>
  <si>
    <t>Hp projektledning (minst 7,5hp i examen) (notera att projektledning och projektarbete inte är samma sak).</t>
  </si>
  <si>
    <t>Hp projektarbete mot näringsliv/samhälle (minst 7,5hp i examen).</t>
  </si>
  <si>
    <t>Hp hållbar utveckling (minst 7,5hp i examen).</t>
  </si>
  <si>
    <t>Hp datavetenskap (minst 12hp i examen). Gäller enbart kategori ma-ber-verktyg.</t>
  </si>
  <si>
    <t>Personuppgifter</t>
  </si>
  <si>
    <t>Kategori</t>
  </si>
  <si>
    <t>Min. krav hp</t>
  </si>
  <si>
    <t>hp</t>
  </si>
  <si>
    <t>MaBer</t>
  </si>
  <si>
    <t>Telefon:</t>
  </si>
  <si>
    <t>StatMät</t>
  </si>
  <si>
    <t>E-post:</t>
  </si>
  <si>
    <t>FyT</t>
  </si>
  <si>
    <t>Aing</t>
  </si>
  <si>
    <t>Anledning till individuell studieplan:</t>
  </si>
  <si>
    <t>Prof</t>
  </si>
  <si>
    <t>Kommentar:</t>
  </si>
  <si>
    <t>PL</t>
  </si>
  <si>
    <t>PaN</t>
  </si>
  <si>
    <t>PaSam</t>
  </si>
  <si>
    <t>PaStor</t>
  </si>
  <si>
    <t>PaTot</t>
  </si>
  <si>
    <t>Namn på examensarbete</t>
  </si>
  <si>
    <t>Arbetsplats</t>
  </si>
  <si>
    <t>Hut</t>
  </si>
  <si>
    <t>Data</t>
  </si>
  <si>
    <t>Avn</t>
  </si>
  <si>
    <t>Fria kurser</t>
  </si>
  <si>
    <t>Max 30</t>
  </si>
  <si>
    <t xml:space="preserve">  </t>
  </si>
  <si>
    <t>Examensarbete</t>
  </si>
  <si>
    <t>Högskolepoäng (hp)</t>
  </si>
  <si>
    <t>Varav (hp)…</t>
  </si>
  <si>
    <t>Baskurser (hp)</t>
  </si>
  <si>
    <t>Övriga krav</t>
  </si>
  <si>
    <t>1.</t>
  </si>
  <si>
    <t>2.</t>
  </si>
  <si>
    <t>3.</t>
  </si>
  <si>
    <t>4.</t>
  </si>
  <si>
    <t>5.</t>
  </si>
  <si>
    <t>6.</t>
  </si>
  <si>
    <t>7.</t>
  </si>
  <si>
    <t>8.</t>
  </si>
  <si>
    <t>9.</t>
  </si>
  <si>
    <t>10.</t>
  </si>
  <si>
    <t>11.</t>
  </si>
  <si>
    <t>12.</t>
  </si>
  <si>
    <t>13.</t>
  </si>
  <si>
    <t>13.1</t>
  </si>
  <si>
    <t>13.2</t>
  </si>
  <si>
    <t>13.3</t>
  </si>
  <si>
    <t>13.4</t>
  </si>
  <si>
    <t>14.</t>
  </si>
  <si>
    <t>15.</t>
  </si>
  <si>
    <t>16.</t>
  </si>
  <si>
    <t>17.</t>
  </si>
  <si>
    <t>Checkbox</t>
  </si>
  <si>
    <t>Kursnamn</t>
  </si>
  <si>
    <t>Datum (ååååmmdd)</t>
  </si>
  <si>
    <t>Studentens kommentar</t>
  </si>
  <si>
    <t>Programledningens kommentar</t>
  </si>
  <si>
    <t>Hp</t>
  </si>
  <si>
    <t>Fria</t>
  </si>
  <si>
    <t>Baskurser inom allmänna ingenjörsområdet</t>
  </si>
  <si>
    <t>Inledande ingenjörskurs i teknisk fysik</t>
  </si>
  <si>
    <t>Metoder och verktyg för ingenjörer</t>
  </si>
  <si>
    <t>Ingenjörens roll i arbetslivet</t>
  </si>
  <si>
    <t xml:space="preserve">Matematiska och beräkningsvetenskapliga verktyg </t>
  </si>
  <si>
    <t>Programmeringsteknik med C och Matlab</t>
  </si>
  <si>
    <t>Endimensionell analys 1</t>
  </si>
  <si>
    <t>Endimensionell analys 2</t>
  </si>
  <si>
    <t>Linjär algebra</t>
  </si>
  <si>
    <t>Flervariabelanalys</t>
  </si>
  <si>
    <t>Fysikens matematiska metoder</t>
  </si>
  <si>
    <t>Fysikaliska modellers matematik</t>
  </si>
  <si>
    <t>Teknisk beräkningsvetenskap I</t>
  </si>
  <si>
    <t xml:space="preserve">Statistisk analys och mätvärdesbehandling </t>
  </si>
  <si>
    <t>Statistik för tekniska fysiker</t>
  </si>
  <si>
    <t>Mätmetoder och strålningsdetektorer</t>
  </si>
  <si>
    <t>Fysikalisk mätteknik</t>
  </si>
  <si>
    <t xml:space="preserve">Fysikalisk teori med tillämpningar </t>
  </si>
  <si>
    <t>Speciell relativitetsteori</t>
  </si>
  <si>
    <t>Modern fysik</t>
  </si>
  <si>
    <t>Vågfysik och optik</t>
  </si>
  <si>
    <t>Elektromagnetismens grunder</t>
  </si>
  <si>
    <t>Elektrodynamik</t>
  </si>
  <si>
    <t>Kvantfysik</t>
  </si>
  <si>
    <t>Kvantmekanik 1</t>
  </si>
  <si>
    <t>Kvantmekanikens grunder</t>
  </si>
  <si>
    <t>Termodynamik</t>
  </si>
  <si>
    <t>Analog kretsteknik</t>
  </si>
  <si>
    <t>Artiﬁciell intelligens – grunderna</t>
  </si>
  <si>
    <t>Design-Build-Test – projektkurs för ingenjörer</t>
  </si>
  <si>
    <t>Digital kretsteknik</t>
  </si>
  <si>
    <t>Djupa faltningsnät med tillämpningar i medicinsk bildanalys</t>
  </si>
  <si>
    <t>Engelska A, Academic writing</t>
  </si>
  <si>
    <t>Engelska för studerande på högskoleingenjörs-, civilingenjörs- och naturvetarprogrammen</t>
  </si>
  <si>
    <t>Från prototyp till produkt ur ett CE-perspektiv</t>
  </si>
  <si>
    <t>Hållbar utveckling för ingenjörer</t>
  </si>
  <si>
    <t>Hållbar utveckling och strålningsmiljö</t>
  </si>
  <si>
    <t>Hållfasthetslärans grunder</t>
  </si>
  <si>
    <t>Industriell ekonomi</t>
  </si>
  <si>
    <t>Informationsteori, nätverk och marknader</t>
  </si>
  <si>
    <t>Inledande ingenjörskurs, öppen ingång</t>
  </si>
  <si>
    <t>Kemometri</t>
  </si>
  <si>
    <t>Klinisk praktik i medicinsk strålningsfysik</t>
  </si>
  <si>
    <t>Kvalitetsteknik och försöksplanering</t>
  </si>
  <si>
    <t>Kärnfysik</t>
  </si>
  <si>
    <t>Linjärprogrammering</t>
  </si>
  <si>
    <t>Medicin för ingenjörer</t>
  </si>
  <si>
    <t>Medicinsk teknik</t>
  </si>
  <si>
    <t>Mikrodatorer i inbyggda system</t>
  </si>
  <si>
    <t>Objektorienterad programmeringsmetodik</t>
  </si>
  <si>
    <t>Projekt i strålningsmiljö</t>
  </si>
  <si>
    <t>Projektledning 1</t>
  </si>
  <si>
    <t>Reglersystem</t>
  </si>
  <si>
    <t>Riskanalys inom strålbehandling</t>
  </si>
  <si>
    <t>Systemnära programmering</t>
  </si>
  <si>
    <t>Teknik för hållbar utveckling</t>
  </si>
  <si>
    <t>Teknik, etik och miljö</t>
  </si>
  <si>
    <t>Teknikens idéhistoria</t>
  </si>
  <si>
    <t>Teknisk beräkningsvetenskap II</t>
  </si>
  <si>
    <t>Transformmetoder</t>
  </si>
  <si>
    <t>Profilkurser som finns i flera profiler</t>
  </si>
  <si>
    <t>Aktuella forskningsområden i fysik</t>
  </si>
  <si>
    <t>Allmän relativitetsteori</t>
  </si>
  <si>
    <t>Astrofysik</t>
  </si>
  <si>
    <t>Atom- och molekylfysik</t>
  </si>
  <si>
    <t>Beröringsfria mätmetoder</t>
  </si>
  <si>
    <t>Elektrodynamik II</t>
  </si>
  <si>
    <t>Fysikens numeriska metoder</t>
  </si>
  <si>
    <t>Icke-linjär fysik</t>
  </si>
  <si>
    <t>Modellering och simulering</t>
  </si>
  <si>
    <t>Multivariat dataanalys</t>
  </si>
  <si>
    <t>Numeriska metoder för partiella differentialekvationer</t>
  </si>
  <si>
    <t>Rymdplasmafysik</t>
  </si>
  <si>
    <t>Tidsserieanalys och spatial statistik</t>
  </si>
  <si>
    <t>Tillämpad digital signalbehandling</t>
  </si>
  <si>
    <t>Beräkningsfysik</t>
  </si>
  <si>
    <t>Avancerade beräkningsmetoder i flödesmekanik</t>
  </si>
  <si>
    <t>Dynamisk modellering av levande system</t>
  </si>
  <si>
    <t>Matrisberäkningar och tillämpningar</t>
  </si>
  <si>
    <t>Monte Carlo-simuleringar av kritiska fenomen i fysik</t>
  </si>
  <si>
    <t>Optimering med tillämpningar</t>
  </si>
  <si>
    <t>Finansiell modellering</t>
  </si>
  <si>
    <t>Finansiell ekonomi D2</t>
  </si>
  <si>
    <t>Finansiell ekonomi II D21</t>
  </si>
  <si>
    <t>Finansiell matematik</t>
  </si>
  <si>
    <t>Finita elementmetoden</t>
  </si>
  <si>
    <t>Monte Carlo-metoder för finansiella tillämpningar</t>
  </si>
  <si>
    <t>Stokastiska differentialekvationer</t>
  </si>
  <si>
    <t xml:space="preserve">Fotonik </t>
  </si>
  <si>
    <t>Avancerade lasersystem och laserteknologi</t>
  </si>
  <si>
    <t>Laserbaserade spektroskopiska mätmetoder</t>
  </si>
  <si>
    <t>Laserfysik</t>
  </si>
  <si>
    <t>Optisk konstruktion</t>
  </si>
  <si>
    <t>Sjukhusfysik</t>
  </si>
  <si>
    <t>Nukleärmedicinsk teknik</t>
  </si>
  <si>
    <t>Radioterapi</t>
  </si>
  <si>
    <t>Röntgenteknik</t>
  </si>
  <si>
    <t>Strålningsbiologi och strålskydd</t>
  </si>
  <si>
    <t>Strålningsdosimetri</t>
  </si>
  <si>
    <t>Strålningsväxelverkan</t>
  </si>
  <si>
    <t>Tillämpad dosimetri</t>
  </si>
  <si>
    <t>Biomedicinska sensorer och analys</t>
  </si>
  <si>
    <t>Molekylspektroskopi med tillämpningar</t>
  </si>
  <si>
    <t>Tillämpad medicinsk bildbehandling</t>
  </si>
  <si>
    <t>Nanoteknik och avancerade material</t>
  </si>
  <si>
    <t>Avancerade material</t>
  </si>
  <si>
    <t>Nanovetenskap</t>
  </si>
  <si>
    <t>Solceller</t>
  </si>
  <si>
    <t>Robotik</t>
  </si>
  <si>
    <t>Adaptiv reglerteknik</t>
  </si>
  <si>
    <t>Linjära reglersystem</t>
  </si>
  <si>
    <t>Mekatronik</t>
  </si>
  <si>
    <t>Modellering inom robotik</t>
  </si>
  <si>
    <t>Optimal reglering av linjära system</t>
  </si>
  <si>
    <t>Projektkurs i datorseende</t>
  </si>
  <si>
    <t>System och algoritmer för autonoma fordon</t>
  </si>
  <si>
    <t>Telerobotik och tillämpad sensorfusion</t>
  </si>
  <si>
    <t>Rymd- och astrofysik</t>
  </si>
  <si>
    <t>Avancerad strömningslära</t>
  </si>
  <si>
    <t>Rymdfysik med mätteknik</t>
  </si>
  <si>
    <t>Sensorteknik och dataanalys</t>
  </si>
  <si>
    <t>Big data och analys av högdimensionella data</t>
  </si>
  <si>
    <t>Datorintensiva statistiska metoder</t>
  </si>
  <si>
    <t>Teoretisk Fysik</t>
  </si>
  <si>
    <t>Kvantfältteori I</t>
  </si>
  <si>
    <t>Kvantfältteori II</t>
  </si>
  <si>
    <t>Kvantmekanik 2</t>
  </si>
  <si>
    <t>Övriga Kurser</t>
  </si>
  <si>
    <t>Välj ett alternativ</t>
  </si>
  <si>
    <t>Ansökan om examen</t>
  </si>
  <si>
    <t>Ansökan om examensarbete</t>
  </si>
  <si>
    <t>Ansökan om utlandsstudier</t>
  </si>
  <si>
    <t>Planering av studier</t>
  </si>
  <si>
    <t>Annat (skriv kommentar nedan)</t>
  </si>
  <si>
    <t>v1.0</t>
  </si>
  <si>
    <t/>
  </si>
  <si>
    <t>Datum (ååååmmdd):</t>
  </si>
  <si>
    <t>Namn (Förnamn Efternamn):</t>
  </si>
  <si>
    <t>Personnummer (ååååmmdd-xxxx):</t>
  </si>
  <si>
    <t>Började på TF (Termin, år (åååå) och klass FXX):</t>
  </si>
  <si>
    <t>Första upplagan av denna ISP är skapad av: Anna Palmberger F16, Fritz Forsgren F16 och Johan Fjellström F16.</t>
  </si>
  <si>
    <t>Bildgivande kärnspinnresonans och ultraljud</t>
  </si>
  <si>
    <t>Datastrukturer och algoritmer (C)</t>
  </si>
  <si>
    <t>Laborativ problemlösning i fysik</t>
  </si>
  <si>
    <t>Medicinteknisk säkerhet och riskhantering</t>
  </si>
  <si>
    <t>Statistisk fysik</t>
  </si>
  <si>
    <t>Individuell studieplan (ISP): instruktioner</t>
  </si>
  <si>
    <t>Total poäng</t>
  </si>
  <si>
    <t>v1.1</t>
  </si>
  <si>
    <t>Fliken du är på just nu, här finns information angående hur ISPn fungerar.</t>
  </si>
  <si>
    <t>Här fyller du i din personliga information samt genererar din sammanfattning från de ikryssade kurserna på de andra flikarna.</t>
  </si>
  <si>
    <t>Denna flik innehåller kurserna från basterminerna.</t>
  </si>
  <si>
    <t>Denna flik innehåller allmänna ingenjörskurser.</t>
  </si>
  <si>
    <t>Denna flik innehåller profilkurser.</t>
  </si>
  <si>
    <t>Denna flik lägger du in tillgodoräknade kurser eller fria kurser.</t>
  </si>
  <si>
    <t>Här kan du läsa om de senaste uppdateringarna i ISPn för att se om någon bugg har fixats.</t>
  </si>
  <si>
    <t>Totala hp projektarbete (minst 15hp i examen). Det är tillåtet att kurs samtidigt uppfyller ett/flera krav inom 13.1-13.3. *</t>
  </si>
  <si>
    <t>Hp sammanhängande projektarbete genomfört i större projektgrupp (minst 7,5hp långa). *</t>
  </si>
  <si>
    <t>Hp projektarbete genomfört i större projektgrupp. *</t>
  </si>
  <si>
    <t>* Förtydligande:</t>
  </si>
  <si>
    <t>Första upplagan av ISPn förhoppningsvis utan buggar, kommande bugfixar läggs in ovanför denna rad.</t>
  </si>
  <si>
    <t>Version</t>
  </si>
  <si>
    <t>Åtgärder</t>
  </si>
  <si>
    <t>Ändrad av</t>
  </si>
  <si>
    <t>Röda tråden</t>
  </si>
  <si>
    <t>Så här gör du för att fylla i din individuella studieplan manuellt</t>
  </si>
  <si>
    <t>Flikförklaring</t>
  </si>
  <si>
    <t>Kolumnförklaring</t>
  </si>
  <si>
    <t>Här hittar du de korrigeringar och buggfixar som gjorts i ISPn i ordningen nyast-äldst.</t>
  </si>
  <si>
    <r>
      <t xml:space="preserve">Markera cell för att kryssa i med ett </t>
    </r>
    <r>
      <rPr>
        <b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, avmarkera och markera för att kryssa ur ditt </t>
    </r>
    <r>
      <rPr>
        <b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>.</t>
    </r>
  </si>
  <si>
    <t>Kursens namn.</t>
  </si>
  <si>
    <t>Kurskod.</t>
  </si>
  <si>
    <t>Din kommentar angående kursen.</t>
  </si>
  <si>
    <t>Kommentar från programledningen angående kursen.</t>
  </si>
  <si>
    <t>Totalt antal hp för kursen.</t>
  </si>
  <si>
    <t>Hp kategori statistisk analys och mätvärdesbehandling.</t>
  </si>
  <si>
    <t>Hp kategori matematiska och beräkningsvetenskapliga verktyg.</t>
  </si>
  <si>
    <t>Hp kategori fysikalisk teori med tillämpningar.</t>
  </si>
  <si>
    <t>Hp kategori allmänna ingenjörskurser.</t>
  </si>
  <si>
    <t>Hp kategori profilkurser.</t>
  </si>
  <si>
    <t>Hp kurser på avancerad nivå.</t>
  </si>
  <si>
    <t>Hp fria kurser.</t>
  </si>
  <si>
    <r>
      <t>Malin Rantala F18</t>
    </r>
    <r>
      <rPr>
        <i/>
        <sz val="11"/>
        <color theme="1"/>
        <rFont val="Calibri"/>
        <family val="2"/>
        <scheme val="minor"/>
      </rPr>
      <t xml:space="preserve"> (IT-amanuens 20/21)</t>
    </r>
  </si>
  <si>
    <t>Analytisk mekanik C</t>
  </si>
  <si>
    <t>PaStor*</t>
  </si>
  <si>
    <r>
      <t xml:space="preserve">Röda tråden kan fylla i din ISP automatiskt. Logga in på Röda tråden, välj ditt blockschema och klicka på </t>
    </r>
    <r>
      <rPr>
        <b/>
        <sz val="11"/>
        <color theme="1"/>
        <rFont val="Calibri"/>
        <family val="2"/>
        <scheme val="minor"/>
      </rPr>
      <t>Generera ISP</t>
    </r>
    <r>
      <rPr>
        <sz val="11"/>
        <color theme="1"/>
        <rFont val="Calibri"/>
        <family val="2"/>
        <scheme val="minor"/>
      </rPr>
      <t>. Här kan du antingen generera en ny ISP direkt från blockschemat, eller ladda upp en påbörjad ISP som Röda Tråden fyller i utan att radera någon information. Klicka seda på</t>
    </r>
    <r>
      <rPr>
        <b/>
        <sz val="11"/>
        <color theme="1"/>
        <rFont val="Calibri"/>
        <family val="2"/>
        <scheme val="minor"/>
      </rPr>
      <t xml:space="preserve"> Ladda ned </t>
    </r>
    <r>
      <rPr>
        <sz val="11"/>
        <color theme="1"/>
        <rFont val="Calibri"/>
        <family val="2"/>
        <scheme val="minor"/>
      </rPr>
      <t xml:space="preserve">för att hämta filen. Notera att kurser som inte registrerats i genereringen nu dyker upp på en ny flik </t>
    </r>
    <r>
      <rPr>
        <b/>
        <sz val="11"/>
        <color theme="1"/>
        <rFont val="Calibri"/>
        <family val="2"/>
        <scheme val="minor"/>
      </rPr>
      <t>Ej inlagt</t>
    </r>
    <r>
      <rPr>
        <sz val="11"/>
        <color theme="1"/>
        <rFont val="Calibri"/>
        <family val="2"/>
        <scheme val="minor"/>
      </rPr>
      <t xml:space="preserve"> - dessa kurser måste du lägga in på egen hand. </t>
    </r>
  </si>
  <si>
    <r>
      <t xml:space="preserve">• Studenter som antagits på programmet innan ht 2011 får använda lägre krav: Minst 7,5 hp projektarbete i grupp om minst 3 personer (samt inget krav om sammanhängande projekt). 
• Studenter som antagits f.o.m. ht 2011 måste följa kravet: Alla projektkurspoäng i stor grupp (minst 4 personer) samt minst 7,5 hp sammanhängande projekt.). 
</t>
    </r>
    <r>
      <rPr>
        <sz val="11"/>
        <color rgb="FFFF0000"/>
        <rFont val="Calibri"/>
        <family val="2"/>
        <scheme val="minor"/>
      </rPr>
      <t xml:space="preserve">• Huruvida en kurs ger poäng i kategorin </t>
    </r>
    <r>
      <rPr>
        <b/>
        <sz val="11"/>
        <color rgb="FFFF0000"/>
        <rFont val="Calibri"/>
        <family val="2"/>
        <scheme val="minor"/>
      </rPr>
      <t xml:space="preserve">PaStor </t>
    </r>
    <r>
      <rPr>
        <sz val="11"/>
        <color rgb="FFFF0000"/>
        <rFont val="Calibri"/>
        <family val="2"/>
        <scheme val="minor"/>
      </rPr>
      <t>måste kollas upp för alla projektkurser. Undantag gäller kurserna</t>
    </r>
    <r>
      <rPr>
        <b/>
        <sz val="11"/>
        <color rgb="FFFF0000"/>
        <rFont val="Calibri"/>
        <family val="2"/>
        <scheme val="minor"/>
      </rPr>
      <t xml:space="preserve"> Inledande ingenjörskurs i Teknisk fysik, Inledande ingenjörskurs, öppen ingång, Metoder och verktyg för ingenjörer, Ingenjörens roll i arbetslivet</t>
    </r>
    <r>
      <rPr>
        <sz val="11"/>
        <color rgb="FFFF0000"/>
        <rFont val="Calibri"/>
        <family val="2"/>
        <scheme val="minor"/>
      </rPr>
      <t xml:space="preserve"> samt</t>
    </r>
    <r>
      <rPr>
        <b/>
        <sz val="11"/>
        <color rgb="FFFF0000"/>
        <rFont val="Calibri"/>
        <family val="2"/>
        <scheme val="minor"/>
      </rPr>
      <t xml:space="preserve"> Design-Build-Test – projektkurs för ingenjörer, </t>
    </r>
    <r>
      <rPr>
        <sz val="11"/>
        <color rgb="FFFF0000"/>
        <rFont val="Calibri"/>
        <family val="2"/>
        <scheme val="minor"/>
      </rPr>
      <t>vilka samtliga kurser har med automatik stor grupp.</t>
    </r>
  </si>
  <si>
    <t>Fasta tillståndets fysik</t>
  </si>
  <si>
    <t>Forsknings- och utvecklingsprojekt inom teknisk fysik</t>
  </si>
  <si>
    <t>Kvalitetsprojekt inom Teknisk fysik</t>
  </si>
  <si>
    <t>Utvecklingsarbete i samverkan med näringslivet</t>
  </si>
  <si>
    <t xml:space="preserve">Du som student är ansvarig för att alla poäng och kursnamn stämmer! Kontrollera uppgifterna mot utbildningsplanen på Umeå universitets hemsida. </t>
  </si>
  <si>
    <r>
      <t xml:space="preserve">I fliken </t>
    </r>
    <r>
      <rPr>
        <b/>
        <sz val="11"/>
        <color theme="1"/>
        <rFont val="Calibri"/>
        <family val="2"/>
        <scheme val="minor"/>
      </rPr>
      <t>Sammanfattning</t>
    </r>
    <r>
      <rPr>
        <sz val="11"/>
        <color theme="1"/>
        <rFont val="Calibri"/>
        <family val="2"/>
        <scheme val="minor"/>
      </rPr>
      <t xml:space="preserve"> ska du endast fylla i de orangefärgade fälten. All kursinformation ska fyllas i och/eller redigeras under flikarna </t>
    </r>
    <r>
      <rPr>
        <b/>
        <sz val="11"/>
        <color theme="1"/>
        <rFont val="Calibri"/>
        <family val="2"/>
        <scheme val="minor"/>
      </rPr>
      <t>Basterminer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Allmänna ingenjörskurser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Profilkurser</t>
    </r>
    <r>
      <rPr>
        <sz val="11"/>
        <color theme="1"/>
        <rFont val="Calibri"/>
        <family val="2"/>
        <scheme val="minor"/>
      </rPr>
      <t xml:space="preserve"> och </t>
    </r>
    <r>
      <rPr>
        <b/>
        <sz val="11"/>
        <color theme="1"/>
        <rFont val="Calibri"/>
        <family val="2"/>
        <scheme val="minor"/>
      </rPr>
      <t>Övriga kurser</t>
    </r>
    <r>
      <rPr>
        <sz val="11"/>
        <color theme="1"/>
        <rFont val="Calibri"/>
        <family val="2"/>
        <scheme val="minor"/>
      </rPr>
      <t>. När du markerar en cell i kolumnen under</t>
    </r>
    <r>
      <rPr>
        <b/>
        <sz val="11"/>
        <color theme="1"/>
        <rFont val="Calibri"/>
        <family val="2"/>
        <scheme val="minor"/>
      </rPr>
      <t xml:space="preserve"> Checkbox</t>
    </r>
    <r>
      <rPr>
        <sz val="11"/>
        <color theme="1"/>
        <rFont val="Calibri"/>
        <family val="2"/>
        <scheme val="minor"/>
      </rPr>
      <t xml:space="preserve"> läggs ett </t>
    </r>
    <r>
      <rPr>
        <b/>
        <sz val="11"/>
        <color theme="1"/>
        <rFont val="Calibri"/>
        <family val="2"/>
        <scheme val="minor"/>
      </rPr>
      <t>x</t>
    </r>
    <r>
      <rPr>
        <sz val="11"/>
        <color theme="1"/>
        <rFont val="Calibri"/>
        <family val="2"/>
        <scheme val="minor"/>
      </rPr>
      <t xml:space="preserve"> in som markerar att du har läst kursen i fråga. När du markerat alla kurser som du har läst och kontrollerat alla poängkategorier, gå till fliken </t>
    </r>
    <r>
      <rPr>
        <b/>
        <sz val="11"/>
        <color theme="1"/>
        <rFont val="Calibri"/>
        <family val="2"/>
        <scheme val="minor"/>
      </rPr>
      <t>Sammanfattning</t>
    </r>
    <r>
      <rPr>
        <sz val="11"/>
        <color theme="1"/>
        <rFont val="Calibri"/>
        <family val="2"/>
        <scheme val="minor"/>
      </rPr>
      <t xml:space="preserve"> och tryck på knappen </t>
    </r>
    <r>
      <rPr>
        <b/>
        <sz val="11"/>
        <color theme="1"/>
        <rFont val="Calibri"/>
        <family val="2"/>
        <scheme val="minor"/>
      </rPr>
      <t>Generera sammanfattning</t>
    </r>
    <r>
      <rPr>
        <sz val="11"/>
        <color theme="1"/>
        <rFont val="Calibri"/>
        <family val="2"/>
        <scheme val="minor"/>
      </rPr>
      <t xml:space="preserve">. För att ISPn ska fungera korrekt så måste du </t>
    </r>
    <r>
      <rPr>
        <b/>
        <sz val="11"/>
        <color rgb="FFFF0000"/>
        <rFont val="Calibri"/>
        <family val="2"/>
        <scheme val="minor"/>
      </rPr>
      <t>aktivera redigering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och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aktivera macron</t>
    </r>
    <r>
      <rPr>
        <sz val="11"/>
        <color theme="1"/>
        <rFont val="Calibri"/>
        <family val="2"/>
        <scheme val="minor"/>
      </rPr>
      <t xml:space="preserve"> i Excel. Om du märker att en kurs har felaktiga poäng i någon kolumn bör du manuellt skriva över i cellen med den korrekta poängen </t>
    </r>
    <r>
      <rPr>
        <i/>
        <sz val="11"/>
        <color theme="1"/>
        <rFont val="Calibri"/>
        <family val="2"/>
        <scheme val="minor"/>
      </rPr>
      <t>(</t>
    </r>
    <r>
      <rPr>
        <b/>
        <i/>
        <sz val="11"/>
        <color theme="1"/>
        <rFont val="Calibri"/>
        <family val="2"/>
        <scheme val="minor"/>
      </rPr>
      <t>OBS:</t>
    </r>
    <r>
      <rPr>
        <i/>
        <sz val="11"/>
        <color theme="1"/>
        <rFont val="Calibri"/>
        <family val="2"/>
        <scheme val="minor"/>
      </rPr>
      <t xml:space="preserve"> det går</t>
    </r>
    <r>
      <rPr>
        <b/>
        <i/>
        <sz val="11"/>
        <color theme="1"/>
        <rFont val="Calibri"/>
        <family val="2"/>
        <scheme val="minor"/>
      </rPr>
      <t xml:space="preserve"> inte</t>
    </r>
    <r>
      <rPr>
        <i/>
        <sz val="11"/>
        <color theme="1"/>
        <rFont val="Calibri"/>
        <family val="2"/>
        <scheme val="minor"/>
      </rPr>
      <t xml:space="preserve"> att göra ändringar i sammanfattningsfliken)</t>
    </r>
    <r>
      <rPr>
        <sz val="11"/>
        <color theme="1"/>
        <rFont val="Calibri"/>
        <family val="2"/>
        <scheme val="minor"/>
      </rPr>
      <t xml:space="preserve">, och sedan generera din sammanfattning på nytt. Vid eventuella felaktigheter i ISPn, vänligen kontakta IT-amanuens på it@tekniskfysik.se. </t>
    </r>
  </si>
  <si>
    <r>
      <t xml:space="preserve">• Korrigerat kursnamn i enlighet med kurssök på umu.se.
• Lagt till upprepande tabellhuvuden under Sammanfattning och på resterande kursflikar låst tabellhuvuden vid scrollning.
• Ändrat minimikravet för PaStor från 7.5 hp till 15 hp.
• Metoder och verktyg för ingenjörer: lagt in att kursen ger 7.5 hp i kategorin Aing samt 1 hp i kategorin PaStor.
• Ingenjörens roll i arbetslivet: lagt in att kursen ger 7.5 hp i kategorin Aing samt 4.5 hp i kategorin PaStor.
• Design-Build-Test – projektkurs för ingenjörer: lagt in att kursen ger 7.5 hp i kategorin PaSam samt 7.5 hp i kategorin PaStor.
</t>
    </r>
    <r>
      <rPr>
        <sz val="11"/>
        <color theme="1"/>
        <rFont val="Calibri"/>
        <family val="2"/>
        <scheme val="minor"/>
      </rPr>
      <t>• Inledande ingenjörskurs, öppen ingång: kursen ger nu 1 hp i kategorin PaStor.</t>
    </r>
    <r>
      <rPr>
        <sz val="11"/>
        <color rgb="FFFF0000"/>
        <rFont val="Calibri"/>
        <family val="2"/>
        <scheme val="minor"/>
      </rPr>
      <t xml:space="preserve">
</t>
    </r>
    <r>
      <rPr>
        <sz val="11"/>
        <color rgb="FF000000"/>
        <rFont val="Calibri"/>
        <family val="2"/>
        <scheme val="minor"/>
      </rPr>
      <t>• * Förtydligande text tillagd under Instruktioner.
• Kolumnförklaringen av PaTot under Instruktioner hänvisar nu till rätt punkter.
• Förtydligat och kompletterat med text under Instruktioner.
• PaSam-poäng inlagt.
• Nu är ISP v1.1 kompatibel med LibreOffice!</t>
    </r>
  </si>
  <si>
    <t>Klassisk mekanik 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</si>
</sst>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3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rgb="FF8C8C8C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CDCD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43">
    <xf numFmtId="0" fontId="0" fillId="0" borderId="0" xfId="0"/>
    <xf numFmtId="0" fontId="4" fillId="0" borderId="4" xfId="0" applyFont="1" applyBorder="1" applyAlignment="1">
      <alignment vertical="center"/>
    </xf>
    <xf numFmtId="0" fontId="0" fillId="0" borderId="0" xfId="0" applyAlignment="1">
      <alignment horizontal="center" wrapText="1"/>
    </xf>
    <xf numFmtId="0" fontId="0" fillId="3" borderId="0" xfId="0" applyFill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0" fontId="1" fillId="3" borderId="0" xfId="0" applyFont="1" applyFill="1" applyAlignment="1">
      <alignment horizontal="left"/>
    </xf>
    <xf numFmtId="0" fontId="1" fillId="0" borderId="0" xfId="0" applyFont="1"/>
    <xf numFmtId="0" fontId="0" fillId="0" borderId="0" xfId="0" applyAlignment="1">
      <alignment horizontal="left" vertical="top"/>
    </xf>
    <xf numFmtId="0" fontId="4" fillId="0" borderId="0" xfId="0" applyFont="1" applyAlignment="1">
      <alignment vertical="center"/>
    </xf>
    <xf numFmtId="0" fontId="4" fillId="0" borderId="6" xfId="0" applyFont="1" applyBorder="1" applyAlignment="1">
      <alignment vertical="center"/>
    </xf>
    <xf numFmtId="0" fontId="6" fillId="0" borderId="0" xfId="0" applyFont="1" applyAlignment="1">
      <alignment horizontal="left" vertical="top"/>
    </xf>
    <xf numFmtId="0" fontId="6" fillId="0" borderId="3" xfId="0" applyFont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0" xfId="0" applyAlignment="1">
      <alignment horizontal="right"/>
    </xf>
    <xf numFmtId="0" fontId="6" fillId="0" borderId="2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vertical="center"/>
    </xf>
    <xf numFmtId="0" fontId="8" fillId="0" borderId="0" xfId="0" applyFont="1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/>
    <xf numFmtId="0" fontId="11" fillId="0" borderId="0" xfId="0" applyFont="1" applyAlignment="1"/>
    <xf numFmtId="0" fontId="9" fillId="0" borderId="0" xfId="0" applyFont="1" applyBorder="1" applyAlignment="1"/>
    <xf numFmtId="0" fontId="10" fillId="0" borderId="0" xfId="0" applyFont="1" applyBorder="1" applyAlignment="1"/>
    <xf numFmtId="0" fontId="0" fillId="0" borderId="0" xfId="0"/>
    <xf numFmtId="0" fontId="0" fillId="0" borderId="0" xfId="0"/>
    <xf numFmtId="0" fontId="0" fillId="0" borderId="0" xfId="0" applyNumberFormat="1" applyFill="1" applyAlignment="1">
      <alignment horizontal="center"/>
    </xf>
    <xf numFmtId="0" fontId="6" fillId="0" borderId="1" xfId="0" applyFont="1" applyFill="1" applyBorder="1" applyAlignment="1">
      <alignment horizontal="left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top"/>
    </xf>
    <xf numFmtId="0" fontId="6" fillId="0" borderId="0" xfId="0" applyFont="1" applyAlignment="1">
      <alignment horizontal="right" wrapText="1"/>
    </xf>
    <xf numFmtId="0" fontId="0" fillId="0" borderId="0" xfId="0" applyBorder="1"/>
    <xf numFmtId="0" fontId="0" fillId="2" borderId="1" xfId="0" applyFont="1" applyFill="1" applyBorder="1"/>
    <xf numFmtId="0" fontId="0" fillId="2" borderId="1" xfId="0" applyFont="1" applyFill="1" applyBorder="1" applyAlignment="1">
      <alignment wrapText="1"/>
    </xf>
    <xf numFmtId="0" fontId="0" fillId="2" borderId="1" xfId="0" applyFont="1" applyFill="1" applyBorder="1" applyAlignment="1">
      <alignment horizontal="right"/>
    </xf>
    <xf numFmtId="0" fontId="0" fillId="4" borderId="1" xfId="0" applyFont="1" applyFill="1" applyBorder="1"/>
    <xf numFmtId="49" fontId="0" fillId="5" borderId="11" xfId="0" applyNumberFormat="1" applyFont="1" applyFill="1" applyBorder="1" applyAlignment="1">
      <alignment horizontal="left"/>
    </xf>
    <xf numFmtId="49" fontId="0" fillId="5" borderId="1" xfId="0" applyNumberFormat="1" applyFont="1" applyFill="1" applyBorder="1" applyAlignment="1">
      <alignment horizontal="center"/>
    </xf>
    <xf numFmtId="49" fontId="0" fillId="5" borderId="1" xfId="0" applyNumberFormat="1" applyFont="1" applyFill="1" applyBorder="1" applyAlignment="1">
      <alignment horizontal="left"/>
    </xf>
    <xf numFmtId="49" fontId="0" fillId="5" borderId="8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left" vertical="top" wrapText="1"/>
    </xf>
    <xf numFmtId="0" fontId="0" fillId="0" borderId="9" xfId="0" applyFill="1" applyBorder="1" applyAlignment="1">
      <alignment horizontal="left" vertical="top"/>
    </xf>
    <xf numFmtId="0" fontId="0" fillId="0" borderId="10" xfId="0" applyFill="1" applyBorder="1"/>
    <xf numFmtId="0" fontId="0" fillId="0" borderId="8" xfId="0" applyBorder="1" applyAlignment="1">
      <alignment horizontal="left" vertical="top"/>
    </xf>
    <xf numFmtId="0" fontId="0" fillId="0" borderId="0" xfId="0"/>
    <xf numFmtId="0" fontId="1" fillId="0" borderId="0" xfId="0" applyFont="1" applyBorder="1" applyAlignment="1">
      <alignment horizontal="right" indent="1"/>
    </xf>
    <xf numFmtId="0" fontId="1" fillId="0" borderId="0" xfId="0" applyFont="1" applyAlignment="1">
      <alignment horizontal="right" indent="1"/>
    </xf>
    <xf numFmtId="0" fontId="6" fillId="0" borderId="0" xfId="0" applyFont="1" applyAlignment="1">
      <alignment horizontal="right" indent="1"/>
    </xf>
    <xf numFmtId="0" fontId="4" fillId="0" borderId="0" xfId="0" applyFont="1"/>
    <xf numFmtId="0" fontId="6" fillId="0" borderId="14" xfId="0" applyFont="1" applyFill="1" applyBorder="1" applyAlignment="1">
      <alignment horizontal="left" vertical="top" indent="1"/>
    </xf>
    <xf numFmtId="0" fontId="6" fillId="0" borderId="1" xfId="0" applyFont="1" applyBorder="1" applyAlignment="1">
      <alignment horizontal="left" vertical="center"/>
    </xf>
    <xf numFmtId="0" fontId="4" fillId="0" borderId="4" xfId="0" applyFont="1" applyBorder="1"/>
    <xf numFmtId="0" fontId="0" fillId="0" borderId="0" xfId="0" applyFill="1" applyBorder="1" applyAlignment="1">
      <alignment horizontal="right"/>
    </xf>
    <xf numFmtId="0" fontId="5" fillId="3" borderId="0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wrapText="1"/>
    </xf>
    <xf numFmtId="0" fontId="0" fillId="0" borderId="10" xfId="0" applyFill="1" applyBorder="1" applyAlignment="1">
      <alignment horizontal="left" vertical="top"/>
    </xf>
    <xf numFmtId="0" fontId="0" fillId="0" borderId="13" xfId="0" applyFill="1" applyBorder="1"/>
    <xf numFmtId="0" fontId="0" fillId="0" borderId="6" xfId="0" applyFont="1" applyFill="1" applyBorder="1" applyAlignment="1">
      <alignment horizontal="left" indent="1"/>
    </xf>
    <xf numFmtId="0" fontId="0" fillId="0" borderId="0" xfId="0"/>
    <xf numFmtId="0" fontId="0" fillId="0" borderId="0" xfId="0" applyBorder="1" applyAlignment="1">
      <alignment vertical="top" wrapText="1"/>
    </xf>
    <xf numFmtId="0" fontId="0" fillId="0" borderId="0" xfId="0" applyFill="1" applyAlignment="1">
      <alignment horizontal="right"/>
    </xf>
    <xf numFmtId="0" fontId="0" fillId="0" borderId="0" xfId="0" applyAlignment="1"/>
    <xf numFmtId="0" fontId="20" fillId="0" borderId="0" xfId="0" applyFont="1" applyAlignment="1">
      <alignment horizontal="right" indent="1"/>
    </xf>
    <xf numFmtId="0" fontId="0" fillId="0" borderId="0" xfId="0" applyAlignment="1">
      <alignment horizontal="left"/>
    </xf>
    <xf numFmtId="0" fontId="0" fillId="0" borderId="0" xfId="0" applyFont="1" applyAlignment="1">
      <alignment vertical="top" wrapText="1"/>
    </xf>
    <xf numFmtId="0" fontId="0" fillId="0" borderId="0" xfId="0"/>
    <xf numFmtId="0" fontId="22" fillId="6" borderId="0" xfId="0" applyFont="1" applyFill="1"/>
    <xf numFmtId="0" fontId="0" fillId="0" borderId="0" xfId="0" applyFill="1" applyAlignment="1">
      <alignment horizontal="left"/>
    </xf>
    <xf numFmtId="0" fontId="7" fillId="0" borderId="0" xfId="0" applyFont="1" applyFill="1" applyAlignment="1">
      <alignment horizontal="left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0" xfId="0"/>
    <xf numFmtId="0" fontId="0" fillId="0" borderId="0" xfId="0" applyFont="1" applyBorder="1" applyAlignment="1">
      <alignment horizontal="left" vertical="top" wrapText="1"/>
    </xf>
    <xf numFmtId="0" fontId="5" fillId="0" borderId="0" xfId="0" applyFont="1" applyFill="1" applyBorder="1" applyAlignment="1">
      <alignment horizontal="left"/>
    </xf>
    <xf numFmtId="0" fontId="0" fillId="0" borderId="0" xfId="0" applyBorder="1"/>
    <xf numFmtId="0" fontId="0" fillId="0" borderId="0" xfId="0" applyAlignment="1">
      <alignment vertical="center"/>
    </xf>
    <xf numFmtId="0" fontId="5" fillId="3" borderId="0" xfId="0" applyFont="1" applyFill="1" applyBorder="1" applyAlignment="1">
      <alignment horizontal="left"/>
    </xf>
    <xf numFmtId="0" fontId="14" fillId="3" borderId="0" xfId="0" applyFont="1" applyFill="1" applyBorder="1"/>
    <xf numFmtId="0" fontId="0" fillId="0" borderId="0" xfId="0" applyAlignment="1">
      <alignment horizontal="left" vertical="center"/>
    </xf>
    <xf numFmtId="0" fontId="0" fillId="0" borderId="0" xfId="0" applyBorder="1" applyAlignment="1">
      <alignment horizontal="left" vertical="top" wrapText="1"/>
    </xf>
    <xf numFmtId="0" fontId="12" fillId="0" borderId="0" xfId="0" applyFont="1" applyBorder="1" applyAlignment="1">
      <alignment horizontal="left" vertical="center"/>
    </xf>
    <xf numFmtId="0" fontId="13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6" fillId="0" borderId="1" xfId="0" applyFont="1" applyFill="1" applyBorder="1" applyAlignment="1">
      <alignment horizontal="left"/>
    </xf>
    <xf numFmtId="0" fontId="6" fillId="0" borderId="2" xfId="0" applyFont="1" applyFill="1" applyBorder="1" applyAlignment="1">
      <alignment horizontal="left"/>
    </xf>
    <xf numFmtId="0" fontId="0" fillId="3" borderId="1" xfId="0" applyFont="1" applyFill="1" applyBorder="1" applyAlignment="1">
      <alignment horizontal="right"/>
    </xf>
    <xf numFmtId="0" fontId="0" fillId="3" borderId="2" xfId="0" applyFont="1" applyFill="1" applyBorder="1" applyAlignment="1">
      <alignment horizontal="right"/>
    </xf>
    <xf numFmtId="0" fontId="6" fillId="0" borderId="13" xfId="0" applyFont="1" applyBorder="1" applyAlignment="1">
      <alignment horizontal="center" vertical="center"/>
    </xf>
    <xf numFmtId="0" fontId="0" fillId="0" borderId="10" xfId="0" applyBorder="1"/>
    <xf numFmtId="49" fontId="0" fillId="5" borderId="1" xfId="0" applyNumberFormat="1" applyFont="1" applyFill="1" applyBorder="1" applyAlignment="1">
      <alignment horizontal="left"/>
    </xf>
    <xf numFmtId="0" fontId="0" fillId="5" borderId="5" xfId="0" applyFont="1" applyFill="1" applyBorder="1"/>
    <xf numFmtId="0" fontId="0" fillId="5" borderId="2" xfId="0" applyFont="1" applyFill="1" applyBorder="1"/>
    <xf numFmtId="0" fontId="0" fillId="3" borderId="15" xfId="0" applyFont="1" applyFill="1" applyBorder="1" applyAlignment="1">
      <alignment horizontal="right"/>
    </xf>
    <xf numFmtId="0" fontId="0" fillId="3" borderId="2" xfId="0" applyFont="1" applyFill="1" applyBorder="1"/>
    <xf numFmtId="0" fontId="7" fillId="3" borderId="1" xfId="0" applyFont="1" applyFill="1" applyBorder="1" applyAlignment="1">
      <alignment horizontal="right"/>
    </xf>
    <xf numFmtId="0" fontId="0" fillId="0" borderId="2" xfId="0" applyFont="1" applyBorder="1"/>
    <xf numFmtId="49" fontId="3" fillId="5" borderId="1" xfId="1" applyNumberFormat="1" applyFont="1" applyFill="1" applyBorder="1" applyAlignment="1">
      <alignment horizontal="left"/>
    </xf>
    <xf numFmtId="0" fontId="0" fillId="3" borderId="1" xfId="0" applyFont="1" applyFill="1" applyBorder="1" applyAlignment="1">
      <alignment horizontal="right" wrapText="1"/>
    </xf>
    <xf numFmtId="49" fontId="0" fillId="5" borderId="1" xfId="0" applyNumberFormat="1" applyFont="1" applyFill="1" applyBorder="1" applyAlignment="1">
      <alignment horizontal="left" vertical="top" wrapText="1"/>
    </xf>
    <xf numFmtId="0" fontId="0" fillId="5" borderId="4" xfId="0" applyFont="1" applyFill="1" applyBorder="1"/>
    <xf numFmtId="0" fontId="0" fillId="5" borderId="6" xfId="0" applyFont="1" applyFill="1" applyBorder="1"/>
    <xf numFmtId="0" fontId="0" fillId="5" borderId="9" xfId="0" applyFont="1" applyFill="1" applyBorder="1"/>
    <xf numFmtId="0" fontId="0" fillId="5" borderId="0" xfId="0" applyFont="1" applyFill="1"/>
    <xf numFmtId="0" fontId="0" fillId="5" borderId="10" xfId="0" applyFont="1" applyFill="1" applyBorder="1"/>
    <xf numFmtId="0" fontId="0" fillId="5" borderId="7" xfId="0" applyFont="1" applyFill="1" applyBorder="1"/>
    <xf numFmtId="0" fontId="0" fillId="5" borderId="3" xfId="0" applyFont="1" applyFill="1" applyBorder="1"/>
    <xf numFmtId="0" fontId="0" fillId="5" borderId="8" xfId="0" applyFont="1" applyFill="1" applyBorder="1"/>
    <xf numFmtId="49" fontId="2" fillId="5" borderId="1" xfId="0" applyNumberFormat="1" applyFont="1" applyFill="1" applyBorder="1" applyAlignment="1">
      <alignment horizontal="left"/>
    </xf>
    <xf numFmtId="0" fontId="0" fillId="5" borderId="5" xfId="0" applyFill="1" applyBorder="1"/>
    <xf numFmtId="0" fontId="0" fillId="5" borderId="2" xfId="0" applyFill="1" applyBorder="1"/>
    <xf numFmtId="0" fontId="5" fillId="0" borderId="3" xfId="0" applyFont="1" applyFill="1" applyBorder="1"/>
    <xf numFmtId="0" fontId="0" fillId="0" borderId="3" xfId="0" applyFill="1" applyBorder="1"/>
    <xf numFmtId="0" fontId="6" fillId="0" borderId="1" xfId="0" applyFont="1" applyBorder="1" applyAlignment="1">
      <alignment horizontal="center" vertical="center"/>
    </xf>
    <xf numFmtId="0" fontId="0" fillId="0" borderId="5" xfId="0" applyBorder="1"/>
    <xf numFmtId="0" fontId="0" fillId="0" borderId="2" xfId="0" applyBorder="1"/>
    <xf numFmtId="0" fontId="6" fillId="0" borderId="12" xfId="0" applyFont="1" applyBorder="1" applyAlignment="1">
      <alignment horizontal="center" vertical="center"/>
    </xf>
    <xf numFmtId="0" fontId="0" fillId="0" borderId="3" xfId="0" applyBorder="1"/>
    <xf numFmtId="0" fontId="0" fillId="0" borderId="8" xfId="0" applyBorder="1"/>
    <xf numFmtId="0" fontId="12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horizontal="left" vertical="top"/>
    </xf>
    <xf numFmtId="0" fontId="14" fillId="5" borderId="11" xfId="0" applyFont="1" applyFill="1" applyBorder="1" applyAlignment="1">
      <alignment horizontal="center" vertical="center" wrapText="1"/>
    </xf>
    <xf numFmtId="0" fontId="14" fillId="5" borderId="13" xfId="0" applyFont="1" applyFill="1" applyBorder="1" applyAlignment="1">
      <alignment horizontal="center" vertical="center" wrapText="1"/>
    </xf>
    <xf numFmtId="0" fontId="14" fillId="5" borderId="10" xfId="0" applyFont="1" applyFill="1" applyBorder="1" applyAlignment="1">
      <alignment horizontal="center" vertical="center" wrapText="1"/>
    </xf>
    <xf numFmtId="0" fontId="14" fillId="5" borderId="12" xfId="0" applyFont="1" applyFill="1" applyBorder="1" applyAlignment="1">
      <alignment horizontal="center" vertical="center" wrapText="1"/>
    </xf>
    <xf numFmtId="0" fontId="0" fillId="0" borderId="11" xfId="0" applyFont="1" applyFill="1" applyBorder="1" applyAlignment="1">
      <alignment horizontal="left" vertical="center" wrapText="1" indent="1"/>
    </xf>
    <xf numFmtId="0" fontId="0" fillId="0" borderId="13" xfId="0" applyFont="1" applyFill="1" applyBorder="1" applyAlignment="1">
      <alignment horizontal="left" vertical="center" wrapText="1" indent="1"/>
    </xf>
    <xf numFmtId="0" fontId="0" fillId="0" borderId="12" xfId="0" applyFont="1" applyFill="1" applyBorder="1" applyAlignment="1">
      <alignment horizontal="left" vertical="center" wrapText="1" indent="1"/>
    </xf>
    <xf numFmtId="0" fontId="5" fillId="0" borderId="0" xfId="0" applyFont="1" applyAlignment="1">
      <alignment horizontal="left" vertical="top"/>
    </xf>
    <xf numFmtId="0" fontId="15" fillId="0" borderId="11" xfId="0" applyFont="1" applyFill="1" applyBorder="1" applyAlignment="1">
      <alignment horizontal="left" vertical="center" wrapText="1" indent="1"/>
    </xf>
    <xf numFmtId="0" fontId="15" fillId="0" borderId="13" xfId="0" applyFont="1" applyFill="1" applyBorder="1" applyAlignment="1">
      <alignment horizontal="left" vertical="center" wrapText="1" indent="1"/>
    </xf>
    <xf numFmtId="0" fontId="15" fillId="0" borderId="9" xfId="0" applyFont="1" applyFill="1" applyBorder="1" applyAlignment="1">
      <alignment horizontal="left" vertical="center" wrapText="1" indent="1"/>
    </xf>
    <xf numFmtId="0" fontId="15" fillId="0" borderId="10" xfId="0" applyFont="1" applyFill="1" applyBorder="1" applyAlignment="1">
      <alignment horizontal="left" vertical="center" wrapText="1" indent="1"/>
    </xf>
    <xf numFmtId="0" fontId="15" fillId="0" borderId="12" xfId="0" applyFont="1" applyFill="1" applyBorder="1" applyAlignment="1">
      <alignment horizontal="left" vertical="center" wrapText="1" indent="1"/>
    </xf>
  </cellXfs>
  <cellStyles count="3">
    <cellStyle name="Hyperlänk" xfId="1" builtinId="8"/>
    <cellStyle name="Hyperlänk 2" xfId="2" xr:uid="{00000000-0005-0000-0000-000002000000}"/>
    <cellStyle name="Normal" xfId="0" builtinId="0"/>
  </cellStyles>
  <dxfs count="0"/>
  <tableStyles count="0" defaultTableStyle="TableStyleMedium2" defaultPivotStyle="PivotStyleLight16"/>
  <colors>
    <mruColors>
      <color rgb="FFFF9D0D"/>
      <color rgb="FFFDEE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106680</xdr:colOff>
          <xdr:row>0</xdr:row>
          <xdr:rowOff>114300</xdr:rowOff>
        </xdr:from>
        <xdr:to>
          <xdr:col>6</xdr:col>
          <xdr:colOff>190500</xdr:colOff>
          <xdr:row>6</xdr:row>
          <xdr:rowOff>0</xdr:rowOff>
        </xdr:to>
        <xdr:sp macro="" textlink="">
          <xdr:nvSpPr>
            <xdr:cNvPr id="1026" name="Button 2" descr="Generera sammanfattning&#10;(Kom ihåg att fylla i personuppgifter)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sv-S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Generera sammanfattning 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Y70"/>
  <sheetViews>
    <sheetView tabSelected="1" zoomScaleNormal="100" workbookViewId="0">
      <selection activeCell="N1" sqref="N1"/>
    </sheetView>
  </sheetViews>
  <sheetFormatPr defaultColWidth="8.88671875" defaultRowHeight="14.4" x14ac:dyDescent="0.3"/>
  <cols>
    <col min="1" max="1" width="32" style="24" customWidth="1"/>
    <col min="2" max="2" width="11.88671875" style="24" bestFit="1" customWidth="1"/>
    <col min="7" max="7" width="12.6640625" style="24" customWidth="1"/>
    <col min="13" max="13" width="14.33203125" style="24" customWidth="1"/>
  </cols>
  <sheetData>
    <row r="1" spans="1:25" ht="21" customHeight="1" x14ac:dyDescent="0.4">
      <c r="A1" s="90" t="s">
        <v>218</v>
      </c>
      <c r="B1" s="90"/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N1" s="31"/>
      <c r="O1" s="31"/>
    </row>
    <row r="2" spans="1:25" ht="18.75" customHeight="1" x14ac:dyDescent="0.35">
      <c r="A2" s="91" t="s">
        <v>263</v>
      </c>
      <c r="B2" s="92"/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30"/>
      <c r="O2" s="30"/>
    </row>
    <row r="3" spans="1:25" ht="15" customHeight="1" x14ac:dyDescent="0.3">
      <c r="A3" s="92"/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32"/>
      <c r="O3" s="32"/>
    </row>
    <row r="4" spans="1:25" ht="15" customHeight="1" x14ac:dyDescent="0.35">
      <c r="A4" s="20"/>
      <c r="B4" s="20"/>
      <c r="C4" s="20"/>
      <c r="D4" s="20"/>
      <c r="E4" s="20"/>
      <c r="F4" s="20"/>
    </row>
    <row r="5" spans="1:25" ht="15" customHeight="1" x14ac:dyDescent="0.3">
      <c r="A5" s="86" t="s">
        <v>237</v>
      </c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</row>
    <row r="6" spans="1:25" ht="15" customHeight="1" x14ac:dyDescent="0.3">
      <c r="A6" s="89" t="s">
        <v>264</v>
      </c>
      <c r="B6" s="89"/>
      <c r="C6" s="89"/>
      <c r="D6" s="89"/>
      <c r="E6" s="89"/>
      <c r="F6" s="89"/>
      <c r="G6" s="89"/>
      <c r="H6" s="89"/>
      <c r="I6" s="89"/>
      <c r="J6" s="89"/>
      <c r="K6" s="89"/>
      <c r="L6" s="89"/>
      <c r="M6" s="89"/>
    </row>
    <row r="7" spans="1:25" x14ac:dyDescent="0.3">
      <c r="A7" s="89"/>
      <c r="B7" s="89"/>
      <c r="C7" s="89"/>
      <c r="D7" s="89"/>
      <c r="E7" s="89"/>
      <c r="F7" s="89"/>
      <c r="G7" s="89"/>
      <c r="H7" s="89"/>
      <c r="I7" s="89"/>
      <c r="J7" s="89"/>
      <c r="K7" s="89"/>
      <c r="L7" s="89"/>
      <c r="M7" s="89"/>
    </row>
    <row r="8" spans="1:25" s="33" customFormat="1" x14ac:dyDescent="0.3">
      <c r="A8" s="89"/>
      <c r="B8" s="89"/>
      <c r="C8" s="89"/>
      <c r="D8" s="89"/>
      <c r="E8" s="89"/>
      <c r="F8" s="89"/>
      <c r="G8" s="89"/>
      <c r="H8" s="89"/>
      <c r="I8" s="89"/>
      <c r="J8" s="89"/>
      <c r="K8" s="89"/>
      <c r="L8" s="89"/>
      <c r="M8" s="89"/>
    </row>
    <row r="9" spans="1:25" x14ac:dyDescent="0.3">
      <c r="A9" s="89"/>
      <c r="B9" s="89"/>
      <c r="C9" s="89"/>
      <c r="D9" s="89"/>
      <c r="E9" s="89"/>
      <c r="F9" s="89"/>
      <c r="G9" s="89"/>
      <c r="H9" s="89"/>
      <c r="I9" s="89"/>
      <c r="J9" s="89"/>
      <c r="K9" s="89"/>
      <c r="L9" s="89"/>
      <c r="M9" s="89"/>
    </row>
    <row r="10" spans="1:25" s="67" customFormat="1" x14ac:dyDescent="0.3">
      <c r="A10" s="89"/>
      <c r="B10" s="89"/>
      <c r="C10" s="89"/>
      <c r="D10" s="89"/>
      <c r="E10" s="89"/>
      <c r="F10" s="89"/>
      <c r="G10" s="89"/>
      <c r="H10" s="89"/>
      <c r="I10" s="89"/>
      <c r="J10" s="89"/>
      <c r="K10" s="89"/>
      <c r="L10" s="89"/>
      <c r="M10" s="89"/>
    </row>
    <row r="11" spans="1:25" x14ac:dyDescent="0.3">
      <c r="A11" s="89"/>
      <c r="B11" s="89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</row>
    <row r="12" spans="1:25" ht="15" customHeight="1" x14ac:dyDescent="0.3">
      <c r="P12" s="70"/>
      <c r="Q12" s="70"/>
      <c r="R12" s="70"/>
      <c r="S12" s="70"/>
      <c r="T12" s="70"/>
      <c r="U12" s="70"/>
      <c r="V12" s="70"/>
      <c r="W12" s="70"/>
      <c r="X12" s="70"/>
      <c r="Y12" s="70"/>
    </row>
    <row r="13" spans="1:25" ht="15.6" x14ac:dyDescent="0.3">
      <c r="A13" s="86" t="s">
        <v>236</v>
      </c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P13" s="70"/>
      <c r="Q13" s="70"/>
      <c r="R13" s="70"/>
      <c r="S13" s="70"/>
      <c r="T13" s="70"/>
      <c r="U13" s="70"/>
      <c r="V13" s="70"/>
      <c r="W13" s="70"/>
      <c r="X13" s="70"/>
      <c r="Y13" s="70"/>
    </row>
    <row r="14" spans="1:25" ht="14.4" customHeight="1" x14ac:dyDescent="0.3">
      <c r="A14" s="89" t="s">
        <v>257</v>
      </c>
      <c r="B14" s="89"/>
      <c r="C14" s="89"/>
      <c r="D14" s="89"/>
      <c r="E14" s="89"/>
      <c r="F14" s="89"/>
      <c r="G14" s="89"/>
      <c r="H14" s="89"/>
      <c r="I14" s="89"/>
      <c r="J14" s="89"/>
      <c r="K14" s="89"/>
      <c r="L14" s="89"/>
      <c r="M14" s="89"/>
      <c r="P14" s="70"/>
      <c r="Q14" s="70"/>
      <c r="R14" s="70"/>
      <c r="S14" s="70"/>
      <c r="T14" s="70"/>
      <c r="U14" s="70"/>
      <c r="V14" s="70"/>
      <c r="W14" s="70"/>
      <c r="X14" s="70"/>
      <c r="Y14" s="70"/>
    </row>
    <row r="15" spans="1:25" s="33" customFormat="1" x14ac:dyDescent="0.3">
      <c r="A15" s="89"/>
      <c r="B15" s="89"/>
      <c r="C15" s="89"/>
      <c r="D15" s="89"/>
      <c r="E15" s="89"/>
      <c r="F15" s="89"/>
      <c r="G15" s="89"/>
      <c r="H15" s="89"/>
      <c r="I15" s="89"/>
      <c r="J15" s="89"/>
      <c r="K15" s="89"/>
      <c r="L15" s="89"/>
      <c r="M15" s="89"/>
      <c r="P15" s="70"/>
      <c r="Q15" s="70"/>
      <c r="R15" s="70"/>
      <c r="S15" s="70"/>
      <c r="T15" s="70"/>
      <c r="U15" s="70"/>
      <c r="V15" s="70"/>
      <c r="W15" s="70"/>
      <c r="X15" s="70"/>
      <c r="Y15" s="70"/>
    </row>
    <row r="16" spans="1:25" s="53" customFormat="1" x14ac:dyDescent="0.3">
      <c r="A16" s="89"/>
      <c r="B16" s="89"/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P16" s="70"/>
      <c r="Q16" s="70"/>
      <c r="R16" s="70"/>
      <c r="S16" s="70"/>
      <c r="T16" s="70"/>
      <c r="U16" s="70"/>
      <c r="V16" s="70"/>
      <c r="W16" s="70"/>
      <c r="X16" s="70"/>
      <c r="Y16" s="70"/>
    </row>
    <row r="17" spans="1:25" s="53" customFormat="1" x14ac:dyDescent="0.3">
      <c r="A17" s="89"/>
      <c r="B17" s="89"/>
      <c r="C17" s="89"/>
      <c r="D17" s="89"/>
      <c r="E17" s="89"/>
      <c r="F17" s="89"/>
      <c r="G17" s="89"/>
      <c r="H17" s="89"/>
      <c r="I17" s="89"/>
      <c r="J17" s="89"/>
      <c r="K17" s="89"/>
      <c r="L17" s="89"/>
      <c r="M17" s="89"/>
      <c r="P17" s="70"/>
      <c r="Q17" s="70"/>
      <c r="R17" s="70"/>
      <c r="S17" s="70"/>
      <c r="T17" s="70"/>
      <c r="U17" s="70"/>
      <c r="V17" s="70"/>
      <c r="W17" s="70"/>
      <c r="X17" s="70"/>
      <c r="Y17" s="70"/>
    </row>
    <row r="18" spans="1:25" x14ac:dyDescent="0.3">
      <c r="P18" s="70"/>
      <c r="Q18" s="70"/>
      <c r="R18" s="70"/>
      <c r="S18" s="70"/>
      <c r="T18" s="70"/>
      <c r="U18" s="70"/>
      <c r="V18" s="70"/>
      <c r="W18" s="70"/>
      <c r="X18" s="70"/>
      <c r="Y18" s="70"/>
    </row>
    <row r="19" spans="1:25" ht="15.6" x14ac:dyDescent="0.3">
      <c r="A19" s="86" t="s">
        <v>238</v>
      </c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P19" s="70"/>
      <c r="Q19" s="70"/>
      <c r="R19" s="70"/>
      <c r="S19" s="70"/>
      <c r="T19" s="70"/>
      <c r="U19" s="70"/>
      <c r="V19" s="70"/>
      <c r="W19" s="70"/>
      <c r="X19" s="70"/>
      <c r="Y19" s="70"/>
    </row>
    <row r="20" spans="1:25" x14ac:dyDescent="0.3">
      <c r="A20" s="54" t="s">
        <v>0</v>
      </c>
      <c r="B20" s="84" t="s">
        <v>221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P20" s="70"/>
      <c r="Q20" s="70"/>
      <c r="R20" s="70"/>
      <c r="S20" s="70"/>
      <c r="T20" s="70"/>
      <c r="U20" s="70"/>
      <c r="V20" s="70"/>
      <c r="W20" s="70"/>
      <c r="X20" s="70"/>
      <c r="Y20" s="70"/>
    </row>
    <row r="21" spans="1:25" x14ac:dyDescent="0.3">
      <c r="A21" s="55" t="s">
        <v>1</v>
      </c>
      <c r="B21" s="81" t="s">
        <v>222</v>
      </c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81"/>
      <c r="P21" s="70"/>
      <c r="Q21" s="70"/>
      <c r="R21" s="70"/>
      <c r="S21" s="70"/>
      <c r="T21" s="70"/>
      <c r="U21" s="70"/>
      <c r="V21" s="70"/>
      <c r="W21" s="70"/>
      <c r="X21" s="70"/>
      <c r="Y21" s="70"/>
    </row>
    <row r="22" spans="1:25" x14ac:dyDescent="0.3">
      <c r="A22" s="55" t="s">
        <v>2</v>
      </c>
      <c r="B22" s="81" t="s">
        <v>223</v>
      </c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81"/>
      <c r="P22" s="70"/>
      <c r="Q22" s="70"/>
      <c r="R22" s="70"/>
      <c r="S22" s="70"/>
      <c r="T22" s="70"/>
      <c r="U22" s="70"/>
      <c r="V22" s="70"/>
      <c r="W22" s="70"/>
      <c r="X22" s="70"/>
      <c r="Y22" s="70"/>
    </row>
    <row r="23" spans="1:25" x14ac:dyDescent="0.3">
      <c r="A23" s="55" t="s">
        <v>3</v>
      </c>
      <c r="B23" s="81" t="s">
        <v>224</v>
      </c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P23" s="70"/>
      <c r="Q23" s="70"/>
      <c r="R23" s="70"/>
      <c r="S23" s="70"/>
      <c r="T23" s="70"/>
      <c r="U23" s="70"/>
      <c r="V23" s="70"/>
      <c r="W23" s="70"/>
      <c r="X23" s="70"/>
      <c r="Y23" s="70"/>
    </row>
    <row r="24" spans="1:25" x14ac:dyDescent="0.3">
      <c r="A24" s="55" t="s">
        <v>4</v>
      </c>
      <c r="B24" s="81" t="s">
        <v>225</v>
      </c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P24" s="70"/>
      <c r="Q24" s="70"/>
      <c r="R24" s="70"/>
      <c r="S24" s="70"/>
      <c r="T24" s="70"/>
      <c r="U24" s="70"/>
      <c r="V24" s="70"/>
      <c r="W24" s="70"/>
      <c r="X24" s="70"/>
      <c r="Y24" s="70"/>
    </row>
    <row r="25" spans="1:25" x14ac:dyDescent="0.3">
      <c r="A25" s="55" t="s">
        <v>5</v>
      </c>
      <c r="B25" s="81" t="s">
        <v>226</v>
      </c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81"/>
      <c r="P25" s="70"/>
      <c r="Q25" s="70"/>
      <c r="R25" s="70"/>
      <c r="S25" s="70"/>
      <c r="T25" s="70"/>
      <c r="U25" s="70"/>
      <c r="V25" s="70"/>
      <c r="W25" s="70"/>
      <c r="X25" s="70"/>
      <c r="Y25" s="70"/>
    </row>
    <row r="26" spans="1:25" x14ac:dyDescent="0.3">
      <c r="A26" s="55" t="s">
        <v>6</v>
      </c>
      <c r="B26" s="81" t="s">
        <v>227</v>
      </c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P26" s="70"/>
      <c r="Q26" s="70"/>
      <c r="R26" s="70"/>
      <c r="S26" s="70"/>
      <c r="T26" s="70"/>
      <c r="U26" s="70"/>
      <c r="V26" s="70"/>
      <c r="W26" s="70"/>
      <c r="X26" s="70"/>
      <c r="Y26" s="70"/>
    </row>
    <row r="27" spans="1:25" x14ac:dyDescent="0.3">
      <c r="P27" s="70"/>
      <c r="Q27" s="70"/>
      <c r="R27" s="70"/>
      <c r="S27" s="70"/>
      <c r="T27" s="70"/>
      <c r="U27" s="70"/>
      <c r="V27" s="70"/>
      <c r="W27" s="70"/>
      <c r="X27" s="70"/>
      <c r="Y27" s="70"/>
    </row>
    <row r="28" spans="1:25" ht="15.6" x14ac:dyDescent="0.3">
      <c r="A28" s="86" t="s">
        <v>239</v>
      </c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P28" s="70"/>
      <c r="Q28" s="70"/>
      <c r="R28" s="70"/>
      <c r="S28" s="70"/>
      <c r="T28" s="70"/>
      <c r="U28" s="70"/>
      <c r="V28" s="70"/>
      <c r="W28" s="70"/>
      <c r="X28" s="70"/>
      <c r="Y28" s="70"/>
    </row>
    <row r="29" spans="1:25" x14ac:dyDescent="0.3">
      <c r="A29" s="56" t="str">
        <f>Sammanfattning!A24</f>
        <v>Checkbox</v>
      </c>
      <c r="B29" s="57" t="str">
        <f>Sammanfattning!A23</f>
        <v>1.</v>
      </c>
      <c r="C29" s="84" t="s">
        <v>241</v>
      </c>
      <c r="D29" s="84"/>
      <c r="E29" s="84"/>
      <c r="F29" s="84"/>
      <c r="G29" s="84"/>
      <c r="H29" s="84"/>
      <c r="I29" s="84"/>
      <c r="J29" s="84"/>
      <c r="K29" s="84"/>
      <c r="L29" s="84"/>
      <c r="M29" s="84"/>
      <c r="P29" s="70"/>
      <c r="Q29" s="70"/>
      <c r="R29" s="70"/>
      <c r="S29" s="70"/>
      <c r="T29" s="70"/>
      <c r="U29" s="70"/>
      <c r="V29" s="70"/>
      <c r="W29" s="70"/>
      <c r="X29" s="70"/>
      <c r="Y29" s="70"/>
    </row>
    <row r="30" spans="1:25" x14ac:dyDescent="0.3">
      <c r="A30" s="56" t="str">
        <f>Sammanfattning!B24</f>
        <v>Kursnamn</v>
      </c>
      <c r="B30" s="57" t="str">
        <f>Sammanfattning!B23</f>
        <v>2.</v>
      </c>
      <c r="C30" s="81" t="s">
        <v>242</v>
      </c>
      <c r="D30" s="81"/>
      <c r="E30" s="81"/>
      <c r="F30" s="81"/>
      <c r="G30" s="81"/>
      <c r="H30" s="81"/>
      <c r="I30" s="81"/>
      <c r="J30" s="81"/>
      <c r="K30" s="81"/>
      <c r="L30" s="81"/>
      <c r="M30" s="81"/>
      <c r="P30" s="70"/>
      <c r="Q30" s="70"/>
      <c r="R30" s="70"/>
      <c r="S30" s="70"/>
      <c r="T30" s="70"/>
      <c r="U30" s="70"/>
      <c r="V30" s="70"/>
      <c r="W30" s="70"/>
      <c r="X30" s="70"/>
      <c r="Y30" s="70"/>
    </row>
    <row r="31" spans="1:25" x14ac:dyDescent="0.3">
      <c r="A31" s="56" t="str">
        <f>Sammanfattning!C24</f>
        <v>Kurskod</v>
      </c>
      <c r="B31" s="57" t="str">
        <f>Sammanfattning!C23</f>
        <v>3.</v>
      </c>
      <c r="C31" s="81" t="s">
        <v>243</v>
      </c>
      <c r="D31" s="81"/>
      <c r="E31" s="81"/>
      <c r="F31" s="81"/>
      <c r="G31" s="81"/>
      <c r="H31" s="81"/>
      <c r="I31" s="81"/>
      <c r="J31" s="81"/>
      <c r="K31" s="81"/>
      <c r="L31" s="81"/>
      <c r="M31" s="81"/>
    </row>
    <row r="32" spans="1:25" x14ac:dyDescent="0.3">
      <c r="A32" s="56" t="str">
        <f>Sammanfattning!D24</f>
        <v>Datum (ååååmmdd)</v>
      </c>
      <c r="B32" s="57" t="str">
        <f>Sammanfattning!D23</f>
        <v>4.</v>
      </c>
      <c r="C32" s="85" t="s">
        <v>8</v>
      </c>
      <c r="D32" s="81"/>
      <c r="E32" s="81"/>
      <c r="F32" s="81"/>
      <c r="G32" s="81"/>
      <c r="H32" s="81"/>
      <c r="I32" s="81"/>
      <c r="J32" s="81"/>
      <c r="K32" s="81"/>
      <c r="L32" s="81"/>
      <c r="M32" s="81"/>
      <c r="N32" s="26"/>
      <c r="O32" s="26"/>
      <c r="P32" s="26"/>
      <c r="Q32" s="26"/>
    </row>
    <row r="33" spans="1:17" x14ac:dyDescent="0.3">
      <c r="A33" s="56" t="str">
        <f>Sammanfattning!E24</f>
        <v>Studentens kommentar</v>
      </c>
      <c r="B33" s="57" t="str">
        <f>Sammanfattning!E23</f>
        <v>5.</v>
      </c>
      <c r="C33" s="81" t="s">
        <v>244</v>
      </c>
      <c r="D33" s="81"/>
      <c r="E33" s="81"/>
      <c r="F33" s="81"/>
      <c r="G33" s="81"/>
      <c r="H33" s="81"/>
      <c r="I33" s="81"/>
      <c r="J33" s="81"/>
      <c r="K33" s="81"/>
      <c r="L33" s="81"/>
      <c r="M33" s="81"/>
    </row>
    <row r="34" spans="1:17" x14ac:dyDescent="0.3">
      <c r="A34" s="56" t="str">
        <f>Sammanfattning!F24</f>
        <v>Programledningens kommentar</v>
      </c>
      <c r="B34" s="57" t="str">
        <f>Sammanfattning!F23</f>
        <v>6.</v>
      </c>
      <c r="C34" s="81" t="s">
        <v>245</v>
      </c>
      <c r="D34" s="81"/>
      <c r="E34" s="81"/>
      <c r="F34" s="81"/>
      <c r="G34" s="81"/>
      <c r="H34" s="81"/>
      <c r="I34" s="81"/>
      <c r="J34" s="81"/>
      <c r="K34" s="81"/>
      <c r="L34" s="81"/>
      <c r="M34" s="81"/>
    </row>
    <row r="35" spans="1:17" x14ac:dyDescent="0.3">
      <c r="A35" s="56" t="str">
        <f>Sammanfattning!G24</f>
        <v>Hp</v>
      </c>
      <c r="B35" s="57" t="str">
        <f>Sammanfattning!G23</f>
        <v>7.</v>
      </c>
      <c r="C35" s="81" t="s">
        <v>246</v>
      </c>
      <c r="D35" s="81"/>
      <c r="E35" s="81"/>
      <c r="F35" s="81"/>
      <c r="G35" s="81"/>
      <c r="H35" s="81"/>
      <c r="I35" s="81"/>
      <c r="J35" s="81"/>
      <c r="K35" s="81"/>
      <c r="L35" s="81"/>
      <c r="M35" s="81"/>
    </row>
    <row r="36" spans="1:17" x14ac:dyDescent="0.3">
      <c r="A36" s="56" t="str">
        <f>Sammanfattning!H24</f>
        <v>MaBer</v>
      </c>
      <c r="B36" s="57" t="str">
        <f>Sammanfattning!H23</f>
        <v>8.</v>
      </c>
      <c r="C36" s="80" t="s">
        <v>248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23"/>
      <c r="O36" s="23"/>
      <c r="P36" s="23"/>
      <c r="Q36" s="23"/>
    </row>
    <row r="37" spans="1:17" x14ac:dyDescent="0.3">
      <c r="A37" s="56" t="str">
        <f>Sammanfattning!I24</f>
        <v>StatMät</v>
      </c>
      <c r="B37" s="57" t="str">
        <f>Sammanfattning!I23</f>
        <v>9.</v>
      </c>
      <c r="C37" s="80" t="s">
        <v>247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23"/>
      <c r="O37" s="23"/>
      <c r="P37" s="23"/>
      <c r="Q37" s="23"/>
    </row>
    <row r="38" spans="1:17" x14ac:dyDescent="0.3">
      <c r="A38" s="56" t="str">
        <f>Sammanfattning!J24</f>
        <v>FyT</v>
      </c>
      <c r="B38" s="57" t="str">
        <f>Sammanfattning!J23</f>
        <v>10.</v>
      </c>
      <c r="C38" s="80" t="s">
        <v>249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23"/>
      <c r="O38" s="23"/>
      <c r="P38" s="23"/>
      <c r="Q38" s="23"/>
    </row>
    <row r="39" spans="1:17" x14ac:dyDescent="0.3">
      <c r="A39" s="56" t="str">
        <f>Sammanfattning!K24</f>
        <v>Aing</v>
      </c>
      <c r="B39" s="57" t="str">
        <f>Sammanfattning!K23</f>
        <v>11.</v>
      </c>
      <c r="C39" s="80" t="s">
        <v>250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23"/>
      <c r="O39" s="23"/>
      <c r="P39" s="23"/>
      <c r="Q39" s="23"/>
    </row>
    <row r="40" spans="1:17" x14ac:dyDescent="0.3">
      <c r="A40" s="56" t="str">
        <f>Sammanfattning!L24</f>
        <v>Prof</v>
      </c>
      <c r="B40" s="57" t="str">
        <f>Sammanfattning!L23</f>
        <v>12.</v>
      </c>
      <c r="C40" s="80" t="s">
        <v>251</v>
      </c>
      <c r="D40" s="81"/>
      <c r="E40" s="81"/>
      <c r="F40" s="81"/>
      <c r="G40" s="81"/>
      <c r="H40" s="81"/>
      <c r="I40" s="81"/>
      <c r="J40" s="81"/>
      <c r="K40" s="81"/>
      <c r="L40" s="81"/>
      <c r="M40" s="81"/>
      <c r="N40" s="23"/>
      <c r="O40" s="23"/>
      <c r="P40" s="23"/>
      <c r="Q40" s="23"/>
    </row>
    <row r="41" spans="1:17" x14ac:dyDescent="0.3">
      <c r="A41" s="56" t="str">
        <f>Sammanfattning!M24</f>
        <v>PL</v>
      </c>
      <c r="B41" s="57" t="str">
        <f>Sammanfattning!M23</f>
        <v>13.</v>
      </c>
      <c r="C41" s="85" t="s">
        <v>9</v>
      </c>
      <c r="D41" s="81"/>
      <c r="E41" s="81"/>
      <c r="F41" s="81"/>
      <c r="G41" s="81"/>
      <c r="H41" s="81"/>
      <c r="I41" s="81"/>
      <c r="J41" s="81"/>
      <c r="K41" s="81"/>
      <c r="L41" s="81"/>
      <c r="M41" s="81"/>
      <c r="N41" s="26"/>
      <c r="O41" s="26"/>
      <c r="P41" s="26"/>
      <c r="Q41" s="26"/>
    </row>
    <row r="42" spans="1:17" x14ac:dyDescent="0.3">
      <c r="A42" s="56" t="str">
        <f>Sammanfattning!N24</f>
        <v>PaN</v>
      </c>
      <c r="B42" s="57" t="str">
        <f>Sammanfattning!N23</f>
        <v>13.1</v>
      </c>
      <c r="C42" s="85" t="s">
        <v>10</v>
      </c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26"/>
      <c r="O42" s="26"/>
      <c r="P42" s="26"/>
      <c r="Q42" s="26"/>
    </row>
    <row r="43" spans="1:17" x14ac:dyDescent="0.3">
      <c r="A43" s="56" t="str">
        <f>Sammanfattning!O24</f>
        <v>PaSam</v>
      </c>
      <c r="B43" s="57" t="str">
        <f>Sammanfattning!O23</f>
        <v>13.2</v>
      </c>
      <c r="C43" s="85" t="s">
        <v>229</v>
      </c>
      <c r="D43" s="81"/>
      <c r="E43" s="81"/>
      <c r="F43" s="81"/>
      <c r="G43" s="81"/>
      <c r="H43" s="81"/>
      <c r="I43" s="81"/>
      <c r="J43" s="81"/>
      <c r="K43" s="81"/>
      <c r="L43" s="81"/>
      <c r="M43" s="81"/>
      <c r="N43" s="26"/>
      <c r="O43" s="26"/>
      <c r="P43" s="26"/>
      <c r="Q43" s="26"/>
    </row>
    <row r="44" spans="1:17" x14ac:dyDescent="0.3">
      <c r="A44" s="71" t="s">
        <v>256</v>
      </c>
      <c r="B44" s="57" t="str">
        <f>Sammanfattning!P23</f>
        <v>13.3</v>
      </c>
      <c r="C44" s="85" t="s">
        <v>230</v>
      </c>
      <c r="D44" s="81"/>
      <c r="E44" s="81"/>
      <c r="F44" s="81"/>
      <c r="G44" s="81"/>
      <c r="H44" s="81"/>
      <c r="I44" s="81"/>
      <c r="J44" s="81"/>
      <c r="K44" s="81"/>
      <c r="L44" s="81"/>
      <c r="M44" s="81"/>
      <c r="N44" s="26"/>
      <c r="O44" s="26"/>
      <c r="P44" s="26"/>
      <c r="Q44" s="26"/>
    </row>
    <row r="45" spans="1:17" x14ac:dyDescent="0.3">
      <c r="A45" s="56" t="str">
        <f>Sammanfattning!Q24</f>
        <v>PaTot</v>
      </c>
      <c r="B45" s="57" t="str">
        <f>Sammanfattning!Q23</f>
        <v>13.4</v>
      </c>
      <c r="C45" s="85" t="s">
        <v>228</v>
      </c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26"/>
      <c r="O45" s="26"/>
      <c r="P45" s="26"/>
      <c r="Q45" s="26"/>
    </row>
    <row r="46" spans="1:17" ht="15" customHeight="1" x14ac:dyDescent="0.3">
      <c r="A46" s="56" t="str">
        <f>Sammanfattning!R24</f>
        <v>Hut</v>
      </c>
      <c r="B46" s="57" t="str">
        <f>Sammanfattning!R23</f>
        <v>14.</v>
      </c>
      <c r="C46" s="85" t="s">
        <v>11</v>
      </c>
      <c r="D46" s="81"/>
      <c r="E46" s="81"/>
      <c r="F46" s="81"/>
      <c r="G46" s="81"/>
      <c r="H46" s="81"/>
      <c r="I46" s="81"/>
      <c r="J46" s="81"/>
      <c r="K46" s="81"/>
      <c r="L46" s="81"/>
      <c r="M46" s="81"/>
      <c r="N46" s="26"/>
      <c r="O46" s="26"/>
      <c r="P46" s="26"/>
      <c r="Q46" s="26"/>
    </row>
    <row r="47" spans="1:17" x14ac:dyDescent="0.3">
      <c r="A47" s="56" t="str">
        <f>Sammanfattning!S24</f>
        <v>Data</v>
      </c>
      <c r="B47" s="57" t="str">
        <f>Sammanfattning!S23</f>
        <v>15.</v>
      </c>
      <c r="C47" s="85" t="s">
        <v>12</v>
      </c>
      <c r="D47" s="81"/>
      <c r="E47" s="81"/>
      <c r="F47" s="81"/>
      <c r="G47" s="81"/>
      <c r="H47" s="81"/>
      <c r="I47" s="81"/>
      <c r="J47" s="81"/>
      <c r="K47" s="81"/>
      <c r="L47" s="81"/>
      <c r="M47" s="81"/>
      <c r="N47" s="26"/>
      <c r="O47" s="26"/>
      <c r="P47" s="26"/>
      <c r="Q47" s="26"/>
    </row>
    <row r="48" spans="1:17" x14ac:dyDescent="0.3">
      <c r="A48" s="56" t="str">
        <f>Sammanfattning!T24</f>
        <v>Avn</v>
      </c>
      <c r="B48" s="57" t="str">
        <f>Sammanfattning!T23</f>
        <v>16.</v>
      </c>
      <c r="C48" s="88" t="s">
        <v>252</v>
      </c>
      <c r="D48" s="81"/>
      <c r="E48" s="81"/>
      <c r="F48" s="81"/>
      <c r="G48" s="81"/>
      <c r="H48" s="81"/>
      <c r="I48" s="81"/>
      <c r="J48" s="81"/>
      <c r="K48" s="81"/>
      <c r="L48" s="81"/>
      <c r="M48" s="81"/>
      <c r="N48" s="27"/>
      <c r="O48" s="27"/>
      <c r="P48" s="27"/>
      <c r="Q48" s="27"/>
    </row>
    <row r="49" spans="1:17" x14ac:dyDescent="0.3">
      <c r="A49" s="56" t="str">
        <f>Sammanfattning!U24</f>
        <v>Fria</v>
      </c>
      <c r="B49" s="57" t="str">
        <f>Sammanfattning!U23</f>
        <v>17.</v>
      </c>
      <c r="C49" s="88" t="s">
        <v>253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27"/>
      <c r="O49" s="27"/>
      <c r="P49" s="27"/>
      <c r="Q49" s="27"/>
    </row>
    <row r="51" spans="1:17" ht="15.6" x14ac:dyDescent="0.3">
      <c r="C51" s="83" t="s">
        <v>231</v>
      </c>
      <c r="D51" s="83"/>
      <c r="E51" s="83"/>
      <c r="F51" s="83"/>
      <c r="G51" s="83"/>
      <c r="H51" s="83"/>
      <c r="I51" s="83"/>
      <c r="J51" s="83"/>
      <c r="K51" s="83"/>
      <c r="L51" s="83"/>
      <c r="M51" s="83"/>
    </row>
    <row r="52" spans="1:17" ht="15" customHeight="1" x14ac:dyDescent="0.3">
      <c r="A52" s="68"/>
      <c r="C52" s="82" t="s">
        <v>258</v>
      </c>
      <c r="D52" s="82"/>
      <c r="E52" s="82"/>
      <c r="F52" s="82"/>
      <c r="G52" s="82"/>
      <c r="H52" s="82"/>
      <c r="I52" s="82"/>
      <c r="J52" s="82"/>
      <c r="K52" s="82"/>
      <c r="L52" s="82"/>
      <c r="M52" s="82"/>
    </row>
    <row r="53" spans="1:17" x14ac:dyDescent="0.3">
      <c r="A53" s="68"/>
      <c r="B53" s="68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</row>
    <row r="54" spans="1:17" ht="15.75" customHeight="1" x14ac:dyDescent="0.3">
      <c r="A54" s="68"/>
      <c r="B54" s="68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</row>
    <row r="55" spans="1:17" x14ac:dyDescent="0.3">
      <c r="A55" s="19"/>
      <c r="B55" s="68"/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</row>
    <row r="56" spans="1:17" x14ac:dyDescent="0.3">
      <c r="A56" s="19"/>
      <c r="B56" s="19"/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</row>
    <row r="57" spans="1:17" x14ac:dyDescent="0.3">
      <c r="A57" s="19"/>
      <c r="B57" s="19"/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</row>
    <row r="58" spans="1:17" s="67" customFormat="1" x14ac:dyDescent="0.3">
      <c r="A58" s="19"/>
      <c r="B58" s="19"/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</row>
    <row r="59" spans="1:17" x14ac:dyDescent="0.3">
      <c r="A59" s="19"/>
      <c r="B59" s="19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</row>
    <row r="60" spans="1:17" x14ac:dyDescent="0.3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7" x14ac:dyDescent="0.3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7" x14ac:dyDescent="0.3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7" x14ac:dyDescent="0.3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7" x14ac:dyDescent="0.3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3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3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3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3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3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3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</sheetData>
  <mergeCells count="38">
    <mergeCell ref="C36:M36"/>
    <mergeCell ref="A6:M11"/>
    <mergeCell ref="A1:M1"/>
    <mergeCell ref="A19:M19"/>
    <mergeCell ref="B20:M20"/>
    <mergeCell ref="A2:M3"/>
    <mergeCell ref="A5:M5"/>
    <mergeCell ref="A13:M13"/>
    <mergeCell ref="C35:M35"/>
    <mergeCell ref="B21:M21"/>
    <mergeCell ref="C34:M34"/>
    <mergeCell ref="A14:M17"/>
    <mergeCell ref="C49:M49"/>
    <mergeCell ref="C40:M40"/>
    <mergeCell ref="C41:M41"/>
    <mergeCell ref="C42:M42"/>
    <mergeCell ref="C43:M43"/>
    <mergeCell ref="C44:M44"/>
    <mergeCell ref="C45:M45"/>
    <mergeCell ref="C46:M46"/>
    <mergeCell ref="C47:M47"/>
    <mergeCell ref="C48:M48"/>
    <mergeCell ref="C38:M38"/>
    <mergeCell ref="C37:M37"/>
    <mergeCell ref="C52:M59"/>
    <mergeCell ref="C51:M51"/>
    <mergeCell ref="B22:M22"/>
    <mergeCell ref="C29:M29"/>
    <mergeCell ref="C30:M30"/>
    <mergeCell ref="C39:M39"/>
    <mergeCell ref="B23:M23"/>
    <mergeCell ref="B24:M24"/>
    <mergeCell ref="B25:M25"/>
    <mergeCell ref="B26:M26"/>
    <mergeCell ref="C31:M31"/>
    <mergeCell ref="C32:M32"/>
    <mergeCell ref="A28:M28"/>
    <mergeCell ref="C33:M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U183"/>
  <sheetViews>
    <sheetView zoomScaleNormal="100" workbookViewId="0">
      <selection activeCell="C2" sqref="C2:E2"/>
    </sheetView>
  </sheetViews>
  <sheetFormatPr defaultColWidth="8.88671875" defaultRowHeight="14.4" x14ac:dyDescent="0.3"/>
  <cols>
    <col min="1" max="1" width="9.33203125" style="17" bestFit="1" customWidth="1"/>
    <col min="2" max="2" width="46.6640625" style="24" bestFit="1" customWidth="1"/>
    <col min="3" max="3" width="8" style="24" bestFit="1" customWidth="1"/>
    <col min="4" max="4" width="16.109375" style="24" customWidth="1"/>
    <col min="5" max="5" width="20" style="17" bestFit="1" customWidth="1"/>
    <col min="6" max="6" width="26.44140625" style="24" bestFit="1" customWidth="1"/>
    <col min="7" max="7" width="5" style="24" bestFit="1" customWidth="1"/>
    <col min="8" max="8" width="6.44140625" style="24" bestFit="1" customWidth="1"/>
    <col min="9" max="9" width="8.6640625" style="24" customWidth="1"/>
    <col min="10" max="11" width="5.6640625" style="24" customWidth="1"/>
    <col min="12" max="12" width="6.109375" style="24" customWidth="1"/>
    <col min="13" max="13" width="5.44140625" style="24" customWidth="1"/>
    <col min="14" max="14" width="4.44140625" style="24" bestFit="1" customWidth="1"/>
    <col min="15" max="15" width="6.6640625" style="24" customWidth="1"/>
    <col min="16" max="16" width="6.44140625" style="24" customWidth="1"/>
    <col min="17" max="17" width="6.109375" style="24" customWidth="1"/>
    <col min="18" max="18" width="4.88671875" style="24" customWidth="1"/>
    <col min="19" max="19" width="6" style="24" customWidth="1"/>
    <col min="20" max="20" width="5" style="24" customWidth="1"/>
    <col min="21" max="21" width="3.88671875" style="24" bestFit="1" customWidth="1"/>
  </cols>
  <sheetData>
    <row r="1" spans="1:20" ht="15.75" customHeight="1" x14ac:dyDescent="0.3">
      <c r="C1" s="120" t="s">
        <v>13</v>
      </c>
      <c r="D1" s="121"/>
      <c r="E1" s="121"/>
      <c r="F1" s="40"/>
      <c r="G1" s="40"/>
      <c r="H1" s="120" t="s">
        <v>1</v>
      </c>
      <c r="I1" s="121"/>
      <c r="J1" s="121"/>
      <c r="K1" s="121"/>
      <c r="L1" s="121"/>
    </row>
    <row r="2" spans="1:20" x14ac:dyDescent="0.3">
      <c r="B2" s="37" t="s">
        <v>208</v>
      </c>
      <c r="C2" s="99"/>
      <c r="D2" s="100"/>
      <c r="E2" s="101"/>
      <c r="H2" s="93" t="s">
        <v>14</v>
      </c>
      <c r="I2" s="94"/>
      <c r="J2" s="93" t="s">
        <v>15</v>
      </c>
      <c r="K2" s="94"/>
      <c r="L2" s="36" t="s">
        <v>16</v>
      </c>
    </row>
    <row r="3" spans="1:20" x14ac:dyDescent="0.3">
      <c r="B3" s="37" t="s">
        <v>209</v>
      </c>
      <c r="C3" s="99"/>
      <c r="D3" s="100"/>
      <c r="E3" s="101"/>
      <c r="H3" s="95" t="s">
        <v>219</v>
      </c>
      <c r="I3" s="96"/>
      <c r="J3" s="95">
        <v>300</v>
      </c>
      <c r="K3" s="105"/>
      <c r="L3" s="41">
        <v>0</v>
      </c>
    </row>
    <row r="4" spans="1:20" x14ac:dyDescent="0.3">
      <c r="B4" s="37" t="s">
        <v>210</v>
      </c>
      <c r="C4" s="99"/>
      <c r="D4" s="100"/>
      <c r="E4" s="101"/>
      <c r="H4" s="95" t="s">
        <v>17</v>
      </c>
      <c r="I4" s="103"/>
      <c r="J4" s="95">
        <v>67.5</v>
      </c>
      <c r="K4" s="105"/>
      <c r="L4" s="41">
        <v>0</v>
      </c>
    </row>
    <row r="5" spans="1:20" x14ac:dyDescent="0.3">
      <c r="B5" s="37" t="s">
        <v>18</v>
      </c>
      <c r="C5" s="99"/>
      <c r="D5" s="100"/>
      <c r="E5" s="101"/>
      <c r="H5" s="95" t="s">
        <v>19</v>
      </c>
      <c r="I5" s="103"/>
      <c r="J5" s="95">
        <v>12</v>
      </c>
      <c r="K5" s="105"/>
      <c r="L5" s="41">
        <v>0</v>
      </c>
    </row>
    <row r="6" spans="1:20" x14ac:dyDescent="0.3">
      <c r="B6" s="37" t="s">
        <v>20</v>
      </c>
      <c r="C6" s="106"/>
      <c r="D6" s="100"/>
      <c r="E6" s="101"/>
      <c r="H6" s="95" t="s">
        <v>21</v>
      </c>
      <c r="I6" s="103"/>
      <c r="J6" s="95">
        <v>60</v>
      </c>
      <c r="K6" s="105"/>
      <c r="L6" s="41">
        <v>0</v>
      </c>
    </row>
    <row r="7" spans="1:20" ht="15" customHeight="1" x14ac:dyDescent="0.3">
      <c r="B7" s="37" t="s">
        <v>211</v>
      </c>
      <c r="C7" s="45"/>
      <c r="D7" s="45"/>
      <c r="E7" s="45"/>
      <c r="H7" s="95" t="s">
        <v>22</v>
      </c>
      <c r="I7" s="103"/>
      <c r="J7" s="95">
        <v>52.5</v>
      </c>
      <c r="K7" s="105"/>
      <c r="L7" s="41">
        <v>0</v>
      </c>
    </row>
    <row r="8" spans="1:20" s="4" customFormat="1" ht="15" customHeight="1" x14ac:dyDescent="0.3">
      <c r="A8" s="2"/>
      <c r="B8" s="38" t="s">
        <v>23</v>
      </c>
      <c r="C8" s="117" t="s">
        <v>200</v>
      </c>
      <c r="D8" s="118"/>
      <c r="E8" s="119"/>
      <c r="H8" s="107" t="s">
        <v>24</v>
      </c>
      <c r="I8" s="103"/>
      <c r="J8" s="107">
        <v>45</v>
      </c>
      <c r="K8" s="105"/>
      <c r="L8" s="42">
        <v>0</v>
      </c>
    </row>
    <row r="9" spans="1:20" x14ac:dyDescent="0.3">
      <c r="B9" s="39" t="s">
        <v>25</v>
      </c>
      <c r="C9" s="108"/>
      <c r="D9" s="109"/>
      <c r="E9" s="110"/>
      <c r="H9" s="102" t="s">
        <v>26</v>
      </c>
      <c r="I9" s="103"/>
      <c r="J9" s="95">
        <v>7.5</v>
      </c>
      <c r="K9" s="105"/>
      <c r="L9" s="43">
        <v>0</v>
      </c>
    </row>
    <row r="10" spans="1:20" x14ac:dyDescent="0.3">
      <c r="C10" s="111"/>
      <c r="D10" s="112"/>
      <c r="E10" s="113"/>
      <c r="H10" s="102" t="s">
        <v>27</v>
      </c>
      <c r="I10" s="103"/>
      <c r="J10" s="104">
        <v>7.5</v>
      </c>
      <c r="K10" s="105"/>
      <c r="L10" s="43">
        <v>0</v>
      </c>
    </row>
    <row r="11" spans="1:20" x14ac:dyDescent="0.3">
      <c r="C11" s="114"/>
      <c r="D11" s="115"/>
      <c r="E11" s="116"/>
      <c r="H11" s="102" t="s">
        <v>28</v>
      </c>
      <c r="I11" s="103"/>
      <c r="J11" s="104">
        <v>7.5</v>
      </c>
      <c r="K11" s="105"/>
      <c r="L11" s="43">
        <v>0</v>
      </c>
    </row>
    <row r="12" spans="1:20" x14ac:dyDescent="0.3">
      <c r="H12" s="102" t="s">
        <v>29</v>
      </c>
      <c r="I12" s="103"/>
      <c r="J12" s="104">
        <v>15</v>
      </c>
      <c r="K12" s="105"/>
      <c r="L12" s="43">
        <v>0</v>
      </c>
      <c r="Q12" s="15"/>
      <c r="R12" s="15"/>
      <c r="S12" s="15"/>
      <c r="T12" s="15"/>
    </row>
    <row r="13" spans="1:20" x14ac:dyDescent="0.3">
      <c r="B13" s="8"/>
      <c r="H13" s="102" t="s">
        <v>30</v>
      </c>
      <c r="I13" s="103"/>
      <c r="J13" s="104">
        <v>15</v>
      </c>
      <c r="K13" s="105"/>
      <c r="L13" s="43">
        <v>0</v>
      </c>
    </row>
    <row r="14" spans="1:20" x14ac:dyDescent="0.3">
      <c r="A14" s="59" t="str">
        <f>A24</f>
        <v>Checkbox</v>
      </c>
      <c r="B14" s="59" t="s">
        <v>31</v>
      </c>
      <c r="C14" s="16" t="str">
        <f>C24</f>
        <v>Kurskod</v>
      </c>
      <c r="D14" s="59" t="str">
        <f>D24</f>
        <v>Datum (ååååmmdd)</v>
      </c>
      <c r="E14" s="16" t="s">
        <v>32</v>
      </c>
      <c r="F14" s="12"/>
      <c r="H14" s="102" t="s">
        <v>33</v>
      </c>
      <c r="I14" s="103"/>
      <c r="J14" s="104">
        <v>7.5</v>
      </c>
      <c r="K14" s="105"/>
      <c r="L14" s="43">
        <v>0</v>
      </c>
    </row>
    <row r="15" spans="1:20" x14ac:dyDescent="0.3">
      <c r="A15" s="46" t="s">
        <v>207</v>
      </c>
      <c r="B15" s="47"/>
      <c r="C15" s="47"/>
      <c r="D15" s="47"/>
      <c r="E15" s="48"/>
      <c r="H15" s="102" t="s">
        <v>34</v>
      </c>
      <c r="I15" s="103"/>
      <c r="J15" s="104">
        <v>12</v>
      </c>
      <c r="K15" s="105"/>
      <c r="L15" s="43">
        <v>0</v>
      </c>
    </row>
    <row r="16" spans="1:20" x14ac:dyDescent="0.3">
      <c r="H16" s="95" t="s">
        <v>35</v>
      </c>
      <c r="I16" s="103"/>
      <c r="J16" s="95">
        <v>60</v>
      </c>
      <c r="K16" s="105"/>
      <c r="L16" s="43">
        <v>0</v>
      </c>
    </row>
    <row r="17" spans="1:21" x14ac:dyDescent="0.3">
      <c r="H17" s="95" t="s">
        <v>36</v>
      </c>
      <c r="I17" s="103"/>
      <c r="J17" s="95" t="s">
        <v>37</v>
      </c>
      <c r="K17" s="105"/>
      <c r="L17" s="44">
        <v>0</v>
      </c>
      <c r="N17" t="s">
        <v>38</v>
      </c>
    </row>
    <row r="18" spans="1:21" x14ac:dyDescent="0.3">
      <c r="H18" s="95" t="s">
        <v>39</v>
      </c>
      <c r="I18" s="103"/>
      <c r="J18" s="95">
        <v>30</v>
      </c>
      <c r="K18" s="105"/>
      <c r="L18" s="41">
        <v>0</v>
      </c>
    </row>
    <row r="19" spans="1:21" x14ac:dyDescent="0.3">
      <c r="D19" s="17"/>
    </row>
    <row r="20" spans="1:21" x14ac:dyDescent="0.3">
      <c r="G20" s="122" t="s">
        <v>40</v>
      </c>
      <c r="H20" s="123"/>
      <c r="I20" s="123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4"/>
    </row>
    <row r="21" spans="1:21" x14ac:dyDescent="0.3">
      <c r="G21" s="19"/>
      <c r="H21" s="125" t="s">
        <v>41</v>
      </c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7"/>
    </row>
    <row r="22" spans="1:21" x14ac:dyDescent="0.3">
      <c r="H22" s="97" t="s">
        <v>42</v>
      </c>
      <c r="I22" s="81"/>
      <c r="J22" s="98"/>
      <c r="K22" s="97" t="s">
        <v>5</v>
      </c>
      <c r="L22" s="98"/>
      <c r="M22" s="122" t="s">
        <v>43</v>
      </c>
      <c r="N22" s="123"/>
      <c r="O22" s="123"/>
      <c r="P22" s="123"/>
      <c r="Q22" s="123"/>
      <c r="R22" s="123"/>
      <c r="S22" s="123"/>
      <c r="T22" s="123"/>
      <c r="U22" s="124"/>
    </row>
    <row r="23" spans="1:21" x14ac:dyDescent="0.3">
      <c r="A23" s="60" t="s">
        <v>44</v>
      </c>
      <c r="B23" s="60" t="s">
        <v>45</v>
      </c>
      <c r="C23" s="60" t="s">
        <v>46</v>
      </c>
      <c r="D23" s="60" t="s">
        <v>47</v>
      </c>
      <c r="E23" s="60" t="s">
        <v>48</v>
      </c>
      <c r="F23" s="60" t="s">
        <v>49</v>
      </c>
      <c r="G23" s="1" t="s">
        <v>50</v>
      </c>
      <c r="H23" s="1" t="s">
        <v>51</v>
      </c>
      <c r="I23" s="1" t="s">
        <v>52</v>
      </c>
      <c r="J23" s="1" t="s">
        <v>53</v>
      </c>
      <c r="K23" s="1" t="s">
        <v>54</v>
      </c>
      <c r="L23" s="1" t="s">
        <v>55</v>
      </c>
      <c r="M23" s="10" t="s">
        <v>56</v>
      </c>
      <c r="N23" s="10" t="s">
        <v>57</v>
      </c>
      <c r="O23" s="10" t="s">
        <v>58</v>
      </c>
      <c r="P23" s="10" t="s">
        <v>59</v>
      </c>
      <c r="Q23" s="10" t="s">
        <v>60</v>
      </c>
      <c r="R23" s="10" t="s">
        <v>61</v>
      </c>
      <c r="S23" s="10" t="s">
        <v>62</v>
      </c>
      <c r="T23" s="10" t="s">
        <v>63</v>
      </c>
      <c r="U23" s="11" t="s">
        <v>64</v>
      </c>
    </row>
    <row r="24" spans="1:21" x14ac:dyDescent="0.3">
      <c r="A24" s="13" t="s">
        <v>65</v>
      </c>
      <c r="B24" s="13" t="s">
        <v>66</v>
      </c>
      <c r="C24" s="13" t="s">
        <v>7</v>
      </c>
      <c r="D24" s="13" t="s">
        <v>67</v>
      </c>
      <c r="E24" s="13" t="s">
        <v>68</v>
      </c>
      <c r="F24" s="13" t="s">
        <v>69</v>
      </c>
      <c r="G24" s="13" t="s">
        <v>70</v>
      </c>
      <c r="H24" s="13" t="s">
        <v>17</v>
      </c>
      <c r="I24" s="13" t="s">
        <v>19</v>
      </c>
      <c r="J24" s="13" t="s">
        <v>21</v>
      </c>
      <c r="K24" s="13" t="s">
        <v>22</v>
      </c>
      <c r="L24" s="13" t="s">
        <v>24</v>
      </c>
      <c r="M24" s="13" t="s">
        <v>26</v>
      </c>
      <c r="N24" s="13" t="s">
        <v>27</v>
      </c>
      <c r="O24" s="13" t="s">
        <v>28</v>
      </c>
      <c r="P24" s="13" t="s">
        <v>29</v>
      </c>
      <c r="Q24" s="13" t="s">
        <v>30</v>
      </c>
      <c r="R24" s="13" t="s">
        <v>33</v>
      </c>
      <c r="S24" s="13" t="s">
        <v>34</v>
      </c>
      <c r="T24" s="13" t="s">
        <v>35</v>
      </c>
      <c r="U24" s="14" t="s">
        <v>71</v>
      </c>
    </row>
    <row r="25" spans="1:21" x14ac:dyDescent="0.3">
      <c r="A25" s="28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x14ac:dyDescent="0.3">
      <c r="A26" s="28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3">
      <c r="A27" s="28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3">
      <c r="A28" s="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3">
      <c r="A29" s="28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3">
      <c r="A30" s="28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3">
      <c r="A31" s="28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x14ac:dyDescent="0.3">
      <c r="A32" s="28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3">
      <c r="A33" s="28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3">
      <c r="A34" s="28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3">
      <c r="A35" s="28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3">
      <c r="A36" s="28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3">
      <c r="A37" s="28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3">
      <c r="A38" s="2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3">
      <c r="A39" s="28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3">
      <c r="A40" s="28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3">
      <c r="A41" s="28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3">
      <c r="A42" s="28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3">
      <c r="A43" s="28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3">
      <c r="A44" s="28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3">
      <c r="A45" s="28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3">
      <c r="A46" s="28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3">
      <c r="A47" s="28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3">
      <c r="A48" s="2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3">
      <c r="A49" s="28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3">
      <c r="A50" s="28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3">
      <c r="A51" s="28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3">
      <c r="A52" s="28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3">
      <c r="A53" s="28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3">
      <c r="A54" s="28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3">
      <c r="A55" s="28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3">
      <c r="A56" s="28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3">
      <c r="A57" s="28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3">
      <c r="A58" s="2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3">
      <c r="A59" s="28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3">
      <c r="A60" s="28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3">
      <c r="A61" s="28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3">
      <c r="A62" s="28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3">
      <c r="A63" s="28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3">
      <c r="A64" s="28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3">
      <c r="A65" s="28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3">
      <c r="A66" s="28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3">
      <c r="A67" s="28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3">
      <c r="A68" s="2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3">
      <c r="A69" s="28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3">
      <c r="A70" s="28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3">
      <c r="A71" s="28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3">
      <c r="A72" s="28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3">
      <c r="A73" s="28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3">
      <c r="A74" s="28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3">
      <c r="A75" s="28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3">
      <c r="A76" s="28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3">
      <c r="A77" s="28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3">
      <c r="A78" s="2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3">
      <c r="A79" s="28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3">
      <c r="A80" s="28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3">
      <c r="A81" s="28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3">
      <c r="A82" s="28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3">
      <c r="A83" s="28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3">
      <c r="A84" s="28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3">
      <c r="A85" s="28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3">
      <c r="A86" s="28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3">
      <c r="A87" s="28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3">
      <c r="A88" s="2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3">
      <c r="A89" s="28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3">
      <c r="A90" s="28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3">
      <c r="A91" s="28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3">
      <c r="A92" s="28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3">
      <c r="A93" s="28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3">
      <c r="A94" s="28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3">
      <c r="A95" s="28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3">
      <c r="A96" s="28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3">
      <c r="A97" s="28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3">
      <c r="A98" s="2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3">
      <c r="A99" s="28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3">
      <c r="A100" s="28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3">
      <c r="A101" s="28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3">
      <c r="A102" s="28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3">
      <c r="A103" s="28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3">
      <c r="A104" s="28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3">
      <c r="A105" s="28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3">
      <c r="A106" s="28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3">
      <c r="A107" s="28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3">
      <c r="A108" s="2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3">
      <c r="A109" s="28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3">
      <c r="A110" s="28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3">
      <c r="A111" s="28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3">
      <c r="A112" s="28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3">
      <c r="A113" s="28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3">
      <c r="A114" s="28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3">
      <c r="A115" s="28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3">
      <c r="A116" s="28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3">
      <c r="A117" s="28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3">
      <c r="A118" s="2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3">
      <c r="A119" s="28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3">
      <c r="A120" s="28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3">
      <c r="A121" s="28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3">
      <c r="A122" s="28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3">
      <c r="A123" s="28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3">
      <c r="A124" s="28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3">
      <c r="A125" s="28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3">
      <c r="A126" s="28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3">
      <c r="A127" s="28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3">
      <c r="A128" s="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3">
      <c r="A129" s="28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3">
      <c r="A130" s="28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3">
      <c r="A131" s="28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3">
      <c r="A132" s="28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3">
      <c r="A133" s="28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3">
      <c r="A134" s="28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3">
      <c r="A135" s="28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3">
      <c r="A136" s="28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3">
      <c r="A137" s="28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3">
      <c r="A138" s="2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3">
      <c r="A139" s="28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3">
      <c r="A140" s="28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3">
      <c r="A141" s="28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3">
      <c r="A142" s="28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3">
      <c r="A143" s="28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3">
      <c r="A144" s="28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3">
      <c r="A145" s="28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3">
      <c r="A146" s="28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3">
      <c r="A147" s="28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3">
      <c r="A148" s="2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3">
      <c r="A149" s="28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3">
      <c r="A150" s="28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3">
      <c r="A151" s="28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3">
      <c r="A152" s="28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3">
      <c r="A153" s="28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3">
      <c r="A154" s="28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3">
      <c r="A155" s="28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3">
      <c r="A156" s="28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3">
      <c r="A157" s="28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3">
      <c r="A158" s="2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3">
      <c r="A159" s="28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3">
      <c r="A160" s="28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3">
      <c r="A161" s="28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3">
      <c r="A162" s="28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3">
      <c r="A163" s="28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3">
      <c r="A164" s="28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3">
      <c r="A165" s="28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3">
      <c r="A166" s="28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3">
      <c r="A167" s="28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3">
      <c r="A168" s="2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3">
      <c r="A169" s="28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3">
      <c r="A170" s="28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3">
      <c r="A171" s="28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3">
      <c r="A172" s="28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3">
      <c r="A173" s="28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3">
      <c r="A174" s="28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3">
      <c r="A175" s="28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3">
      <c r="A176" s="28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3">
      <c r="A177" s="28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3">
      <c r="A178" s="2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3">
      <c r="A179" s="28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3">
      <c r="A180" s="28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3">
      <c r="A181" s="28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3">
      <c r="A182" s="28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3">
      <c r="A183" s="28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</sheetData>
  <mergeCells count="48">
    <mergeCell ref="C9:E11"/>
    <mergeCell ref="C8:E8"/>
    <mergeCell ref="C1:E1"/>
    <mergeCell ref="M22:U22"/>
    <mergeCell ref="G20:U20"/>
    <mergeCell ref="H21:U21"/>
    <mergeCell ref="J16:K16"/>
    <mergeCell ref="J17:K17"/>
    <mergeCell ref="H1:L1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8:I18"/>
    <mergeCell ref="J18:K18"/>
    <mergeCell ref="H16:I16"/>
    <mergeCell ref="H17:I17"/>
    <mergeCell ref="J8:K8"/>
    <mergeCell ref="J9:K9"/>
    <mergeCell ref="J13:K13"/>
    <mergeCell ref="J14:K14"/>
    <mergeCell ref="J2:K2"/>
    <mergeCell ref="J3:K3"/>
    <mergeCell ref="J4:K4"/>
    <mergeCell ref="J5:K5"/>
    <mergeCell ref="J6:K6"/>
    <mergeCell ref="H2:I2"/>
    <mergeCell ref="H3:I3"/>
    <mergeCell ref="K22:L22"/>
    <mergeCell ref="C2:E2"/>
    <mergeCell ref="C3:E3"/>
    <mergeCell ref="C4:E4"/>
    <mergeCell ref="C5:E5"/>
    <mergeCell ref="H22:J22"/>
    <mergeCell ref="H14:I14"/>
    <mergeCell ref="H15:I15"/>
    <mergeCell ref="J15:K15"/>
    <mergeCell ref="C6:E6"/>
    <mergeCell ref="J11:K11"/>
    <mergeCell ref="J12:K12"/>
    <mergeCell ref="J10:K10"/>
    <mergeCell ref="J7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ImportCourses" altText="Generera sammanfattning_x000a_(Kom ihåg att fylla i personuppgifter)_x000a_">
                <anchor moveWithCells="1" sizeWithCells="1">
                  <from>
                    <xdr:col>5</xdr:col>
                    <xdr:colOff>106680</xdr:colOff>
                    <xdr:row>0</xdr:row>
                    <xdr:rowOff>114300</xdr:rowOff>
                  </from>
                  <to>
                    <xdr:col>6</xdr:col>
                    <xdr:colOff>190500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3C4E064-6590-402A-B460-30241E85EE97}">
          <x14:formula1>
            <xm:f>'Random code'!$A$1:$A$6</xm:f>
          </x14:formula1>
          <xm:sqref>C8:E8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6"/>
  <dimension ref="A2:U98"/>
  <sheetViews>
    <sheetView zoomScaleNormal="100" workbookViewId="0">
      <pane ySplit="6" topLeftCell="A7" activePane="bottomLeft" state="frozen"/>
      <selection pane="bottomLeft"/>
    </sheetView>
  </sheetViews>
  <sheetFormatPr defaultColWidth="8.88671875" defaultRowHeight="14.4" x14ac:dyDescent="0.3"/>
  <cols>
    <col min="1" max="1" width="9.33203125" style="17" bestFit="1" customWidth="1"/>
    <col min="2" max="2" width="81.109375" style="24" customWidth="1"/>
    <col min="3" max="3" width="8.109375" style="17" bestFit="1" customWidth="1"/>
    <col min="4" max="4" width="18" style="17" customWidth="1"/>
    <col min="5" max="5" width="20.44140625" style="24" customWidth="1"/>
    <col min="6" max="6" width="29.6640625" style="24" bestFit="1" customWidth="1"/>
    <col min="7" max="7" width="5" style="24" bestFit="1" customWidth="1"/>
    <col min="8" max="8" width="6.88671875" style="24" bestFit="1" customWidth="1"/>
    <col min="9" max="9" width="8.109375" style="24" customWidth="1"/>
    <col min="10" max="10" width="4" style="24" bestFit="1" customWidth="1"/>
    <col min="11" max="11" width="5.88671875" style="24" customWidth="1"/>
    <col min="12" max="12" width="5" style="24" customWidth="1"/>
    <col min="13" max="13" width="4.33203125" style="24" customWidth="1"/>
    <col min="14" max="14" width="4.44140625" style="24" bestFit="1" customWidth="1"/>
    <col min="15" max="16" width="6.88671875" style="24" bestFit="1" customWidth="1"/>
    <col min="17" max="17" width="6.109375" style="24" bestFit="1" customWidth="1"/>
    <col min="18" max="18" width="4.44140625" style="24" bestFit="1" customWidth="1"/>
    <col min="19" max="19" width="5.109375" style="24" bestFit="1" customWidth="1"/>
    <col min="20" max="20" width="5" style="24" customWidth="1"/>
    <col min="21" max="21" width="5.6640625" style="24" customWidth="1"/>
    <col min="22" max="22" width="8.88671875" style="24" customWidth="1"/>
    <col min="23" max="16384" width="8.88671875" style="24"/>
  </cols>
  <sheetData>
    <row r="2" spans="1:21" x14ac:dyDescent="0.3">
      <c r="G2" s="122" t="str">
        <f>Sammanfattning!G20</f>
        <v>Högskolepoäng (hp)</v>
      </c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</row>
    <row r="3" spans="1:21" x14ac:dyDescent="0.3">
      <c r="G3" s="19"/>
      <c r="H3" s="125" t="str">
        <f>Sammanfattning!H21</f>
        <v>Varav (hp)…</v>
      </c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/>
    </row>
    <row r="4" spans="1:21" x14ac:dyDescent="0.3">
      <c r="H4" s="97" t="str">
        <f>Sammanfattning!H22</f>
        <v>Baskurser (hp)</v>
      </c>
      <c r="I4" s="81"/>
      <c r="J4" s="98"/>
      <c r="K4" s="97" t="str">
        <f>Sammanfattning!K22</f>
        <v>Övriga kurser</v>
      </c>
      <c r="L4" s="98"/>
      <c r="M4" s="122" t="str">
        <f>Sammanfattning!M22</f>
        <v>Övriga krav</v>
      </c>
      <c r="N4" s="123"/>
      <c r="O4" s="123"/>
      <c r="P4" s="123"/>
      <c r="Q4" s="123"/>
      <c r="R4" s="123"/>
      <c r="S4" s="123"/>
      <c r="T4" s="123"/>
      <c r="U4" s="124"/>
    </row>
    <row r="5" spans="1:21" x14ac:dyDescent="0.3">
      <c r="A5" s="60" t="str">
        <f>Sammanfattning!A23</f>
        <v>1.</v>
      </c>
      <c r="B5" s="60" t="str">
        <f>Sammanfattning!B23</f>
        <v>2.</v>
      </c>
      <c r="C5" s="60" t="str">
        <f>Sammanfattning!C23</f>
        <v>3.</v>
      </c>
      <c r="D5" s="60" t="str">
        <f>Sammanfattning!D23</f>
        <v>4.</v>
      </c>
      <c r="E5" s="60" t="str">
        <f>Sammanfattning!E23</f>
        <v>5.</v>
      </c>
      <c r="F5" s="60" t="str">
        <f>Sammanfattning!F23</f>
        <v>6.</v>
      </c>
      <c r="G5" s="1" t="str">
        <f>Sammanfattning!G23</f>
        <v>7.</v>
      </c>
      <c r="H5" s="1" t="str">
        <f>Sammanfattning!H23</f>
        <v>8.</v>
      </c>
      <c r="I5" s="1" t="str">
        <f>Sammanfattning!I23</f>
        <v>9.</v>
      </c>
      <c r="J5" s="1" t="str">
        <f>Sammanfattning!J23</f>
        <v>10.</v>
      </c>
      <c r="K5" s="1" t="str">
        <f>Sammanfattning!K23</f>
        <v>11.</v>
      </c>
      <c r="L5" s="1" t="str">
        <f>Sammanfattning!L23</f>
        <v>12.</v>
      </c>
      <c r="M5" s="10" t="str">
        <f>Sammanfattning!M23</f>
        <v>13.</v>
      </c>
      <c r="N5" s="10" t="str">
        <f>Sammanfattning!N23</f>
        <v>13.1</v>
      </c>
      <c r="O5" s="10" t="str">
        <f>Sammanfattning!O23</f>
        <v>13.2</v>
      </c>
      <c r="P5" s="10" t="str">
        <f>Sammanfattning!P23</f>
        <v>13.3</v>
      </c>
      <c r="Q5" s="10" t="str">
        <f>Sammanfattning!Q23</f>
        <v>13.4</v>
      </c>
      <c r="R5" s="10" t="str">
        <f>Sammanfattning!R23</f>
        <v>14.</v>
      </c>
      <c r="S5" s="10" t="str">
        <f>Sammanfattning!S23</f>
        <v>15.</v>
      </c>
      <c r="T5" s="10" t="str">
        <f>Sammanfattning!T23</f>
        <v>16.</v>
      </c>
      <c r="U5" s="11" t="str">
        <f>Sammanfattning!U23</f>
        <v>17.</v>
      </c>
    </row>
    <row r="6" spans="1:21" x14ac:dyDescent="0.3">
      <c r="A6" s="13" t="str">
        <f>Sammanfattning!A24</f>
        <v>Checkbox</v>
      </c>
      <c r="B6" s="13" t="str">
        <f>Sammanfattning!B24</f>
        <v>Kursnamn</v>
      </c>
      <c r="C6" s="13" t="str">
        <f>Sammanfattning!C24</f>
        <v>Kurskod</v>
      </c>
      <c r="D6" s="13" t="str">
        <f>Sammanfattning!D24</f>
        <v>Datum (ååååmmdd)</v>
      </c>
      <c r="E6" s="13" t="str">
        <f>Sammanfattning!E24</f>
        <v>Studentens kommentar</v>
      </c>
      <c r="F6" s="13" t="str">
        <f>Sammanfattning!F24</f>
        <v>Programledningens kommentar</v>
      </c>
      <c r="G6" s="13" t="str">
        <f>Sammanfattning!G24</f>
        <v>Hp</v>
      </c>
      <c r="H6" s="13" t="str">
        <f>Sammanfattning!H24</f>
        <v>MaBer</v>
      </c>
      <c r="I6" s="13" t="str">
        <f>Sammanfattning!I24</f>
        <v>StatMät</v>
      </c>
      <c r="J6" s="13" t="str">
        <f>Sammanfattning!J24</f>
        <v>FyT</v>
      </c>
      <c r="K6" s="13" t="str">
        <f>Sammanfattning!K24</f>
        <v>Aing</v>
      </c>
      <c r="L6" s="13" t="str">
        <f>Sammanfattning!L24</f>
        <v>Prof</v>
      </c>
      <c r="M6" s="13" t="str">
        <f>Sammanfattning!M24</f>
        <v>PL</v>
      </c>
      <c r="N6" s="13" t="str">
        <f>Sammanfattning!N24</f>
        <v>PaN</v>
      </c>
      <c r="O6" s="13" t="str">
        <f>Sammanfattning!O24</f>
        <v>PaSam</v>
      </c>
      <c r="P6" s="13" t="str">
        <f>Sammanfattning!P24</f>
        <v>PaStor</v>
      </c>
      <c r="Q6" s="13" t="str">
        <f>Sammanfattning!Q24</f>
        <v>PaTot</v>
      </c>
      <c r="R6" s="13" t="str">
        <f>Sammanfattning!R24</f>
        <v>Hut</v>
      </c>
      <c r="S6" s="13" t="str">
        <f>Sammanfattning!S24</f>
        <v>Data</v>
      </c>
      <c r="T6" s="13" t="str">
        <f>Sammanfattning!T24</f>
        <v>Avn</v>
      </c>
      <c r="U6" s="14" t="str">
        <f>Sammanfattning!U24</f>
        <v>Fria</v>
      </c>
    </row>
    <row r="7" spans="1:21" x14ac:dyDescent="0.3">
      <c r="A7" s="3"/>
      <c r="B7" s="7" t="s">
        <v>72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</row>
    <row r="8" spans="1:21" x14ac:dyDescent="0.3">
      <c r="A8" s="35"/>
      <c r="B8" s="23" t="s">
        <v>73</v>
      </c>
      <c r="C8" s="23"/>
      <c r="D8" s="21"/>
      <c r="E8" s="23"/>
      <c r="F8" s="23"/>
      <c r="G8" s="15">
        <v>7.5</v>
      </c>
      <c r="H8" s="15"/>
      <c r="I8" s="15"/>
      <c r="J8" s="15"/>
      <c r="K8" s="15"/>
      <c r="L8" s="15"/>
      <c r="M8" s="15"/>
      <c r="N8" s="15"/>
      <c r="O8" s="15"/>
      <c r="P8" s="15">
        <v>1</v>
      </c>
      <c r="Q8" s="15">
        <v>1</v>
      </c>
      <c r="R8" s="15"/>
      <c r="S8" s="15"/>
      <c r="T8" s="15"/>
      <c r="U8" s="15"/>
    </row>
    <row r="9" spans="1:21" x14ac:dyDescent="0.3">
      <c r="A9" s="28"/>
      <c r="B9" s="23" t="s">
        <v>74</v>
      </c>
      <c r="C9" s="23"/>
      <c r="D9" s="21"/>
      <c r="E9" s="23"/>
      <c r="F9" s="23"/>
      <c r="G9" s="15">
        <v>7.5</v>
      </c>
      <c r="H9" s="15"/>
      <c r="I9" s="15"/>
      <c r="J9" s="15"/>
      <c r="K9" s="15">
        <v>7.5</v>
      </c>
      <c r="L9" s="15"/>
      <c r="M9" s="15"/>
      <c r="N9" s="15"/>
      <c r="O9" s="15"/>
      <c r="P9" s="15">
        <v>1</v>
      </c>
      <c r="Q9" s="15">
        <v>1</v>
      </c>
      <c r="R9" s="15"/>
      <c r="S9" s="15"/>
      <c r="T9" s="15"/>
      <c r="U9" s="15"/>
    </row>
    <row r="10" spans="1:21" x14ac:dyDescent="0.3">
      <c r="A10" s="28"/>
      <c r="B10" s="23" t="s">
        <v>75</v>
      </c>
      <c r="C10" s="23"/>
      <c r="D10" s="21"/>
      <c r="E10" s="23"/>
      <c r="F10" s="23"/>
      <c r="G10" s="15">
        <v>7.5</v>
      </c>
      <c r="H10" s="15"/>
      <c r="I10" s="15"/>
      <c r="J10" s="15"/>
      <c r="K10" s="15">
        <v>7.5</v>
      </c>
      <c r="L10" s="15"/>
      <c r="M10" s="15"/>
      <c r="N10" s="15">
        <v>4.5</v>
      </c>
      <c r="O10" s="15"/>
      <c r="P10" s="15">
        <v>4.5</v>
      </c>
      <c r="Q10" s="15">
        <v>4.5</v>
      </c>
      <c r="R10" s="15"/>
      <c r="S10" s="15"/>
      <c r="T10" s="15"/>
      <c r="U10" s="15"/>
    </row>
    <row r="11" spans="1:21" x14ac:dyDescent="0.3">
      <c r="A11" s="3"/>
      <c r="B11" s="7" t="s">
        <v>76</v>
      </c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</row>
    <row r="12" spans="1:21" x14ac:dyDescent="0.3">
      <c r="A12" s="28"/>
      <c r="B12" s="23" t="s">
        <v>77</v>
      </c>
      <c r="C12" s="23"/>
      <c r="D12" s="21"/>
      <c r="E12" s="23"/>
      <c r="F12" s="23"/>
      <c r="G12" s="15">
        <v>7.5</v>
      </c>
      <c r="H12" s="15">
        <v>7.5</v>
      </c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>
        <v>7.5</v>
      </c>
      <c r="T12" s="15"/>
      <c r="U12" s="15"/>
    </row>
    <row r="13" spans="1:21" x14ac:dyDescent="0.3">
      <c r="A13" s="28"/>
      <c r="B13" s="23" t="s">
        <v>78</v>
      </c>
      <c r="C13" s="23"/>
      <c r="D13" s="21"/>
      <c r="E13" s="23"/>
      <c r="F13" s="23"/>
      <c r="G13" s="15">
        <v>7.5</v>
      </c>
      <c r="H13" s="15">
        <v>7.5</v>
      </c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x14ac:dyDescent="0.3">
      <c r="A14" s="28"/>
      <c r="B14" s="23" t="s">
        <v>79</v>
      </c>
      <c r="C14" s="23"/>
      <c r="D14" s="21"/>
      <c r="E14" s="23"/>
      <c r="F14" s="23"/>
      <c r="G14" s="15">
        <v>7.5</v>
      </c>
      <c r="H14" s="15">
        <v>7.5</v>
      </c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</row>
    <row r="15" spans="1:21" x14ac:dyDescent="0.3">
      <c r="A15" s="28"/>
      <c r="B15" s="23" t="s">
        <v>80</v>
      </c>
      <c r="C15" s="23"/>
      <c r="D15" s="21"/>
      <c r="E15" s="23"/>
      <c r="F15" s="23"/>
      <c r="G15" s="15">
        <v>7.5</v>
      </c>
      <c r="H15" s="15">
        <v>7.5</v>
      </c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 ht="15" customHeight="1" x14ac:dyDescent="0.3">
      <c r="A16" s="28"/>
      <c r="B16" s="23" t="s">
        <v>81</v>
      </c>
      <c r="C16" s="23"/>
      <c r="D16" s="21"/>
      <c r="E16" s="23"/>
      <c r="F16" s="23"/>
      <c r="G16" s="15">
        <v>7.5</v>
      </c>
      <c r="H16" s="15">
        <v>7.5</v>
      </c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x14ac:dyDescent="0.3">
      <c r="A17" s="28"/>
      <c r="B17" s="23" t="s">
        <v>82</v>
      </c>
      <c r="C17" s="23"/>
      <c r="D17" s="21"/>
      <c r="E17" s="23"/>
      <c r="F17" s="23"/>
      <c r="G17" s="15">
        <v>15</v>
      </c>
      <c r="H17" s="15">
        <v>15</v>
      </c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</row>
    <row r="18" spans="1:21" x14ac:dyDescent="0.3">
      <c r="A18" s="28"/>
      <c r="B18" s="23" t="s">
        <v>83</v>
      </c>
      <c r="C18" s="23"/>
      <c r="D18" s="21"/>
      <c r="E18" s="23"/>
      <c r="F18" s="23"/>
      <c r="G18" s="15">
        <v>10.5</v>
      </c>
      <c r="H18" s="15">
        <v>10.5</v>
      </c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</row>
    <row r="19" spans="1:21" x14ac:dyDescent="0.3">
      <c r="B19" s="23" t="s">
        <v>84</v>
      </c>
      <c r="C19" s="23"/>
      <c r="D19" s="21"/>
      <c r="E19" s="23"/>
      <c r="F19" s="23"/>
      <c r="G19" s="15">
        <v>4.5</v>
      </c>
      <c r="H19" s="15">
        <v>4.5</v>
      </c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>
        <v>4.5</v>
      </c>
      <c r="T19" s="15"/>
      <c r="U19" s="15"/>
    </row>
    <row r="20" spans="1:21" x14ac:dyDescent="0.3">
      <c r="A20" s="3"/>
      <c r="B20" s="7" t="s">
        <v>85</v>
      </c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75"/>
      <c r="O20" s="75"/>
      <c r="P20" s="75"/>
      <c r="Q20" s="75"/>
      <c r="R20" s="75"/>
      <c r="S20" s="75"/>
      <c r="T20" s="75"/>
      <c r="U20" s="75"/>
    </row>
    <row r="21" spans="1:21" x14ac:dyDescent="0.3">
      <c r="A21" s="28"/>
      <c r="B21" s="23" t="s">
        <v>86</v>
      </c>
      <c r="C21" s="23"/>
      <c r="D21" s="21"/>
      <c r="E21" s="23"/>
      <c r="F21" s="23"/>
      <c r="G21" s="15">
        <v>6</v>
      </c>
      <c r="H21" s="15"/>
      <c r="I21" s="15">
        <v>6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</row>
    <row r="22" spans="1:21" x14ac:dyDescent="0.3">
      <c r="B22" s="23" t="s">
        <v>87</v>
      </c>
      <c r="C22" s="23"/>
      <c r="D22" s="21"/>
      <c r="E22" s="23"/>
      <c r="F22" s="23"/>
      <c r="G22" s="15">
        <v>7.5</v>
      </c>
      <c r="H22" s="15"/>
      <c r="I22" s="15">
        <v>7.5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</row>
    <row r="23" spans="1:21" x14ac:dyDescent="0.3">
      <c r="A23" s="28"/>
      <c r="B23" s="23" t="s">
        <v>88</v>
      </c>
      <c r="C23" s="23"/>
      <c r="D23" s="21"/>
      <c r="E23" s="23"/>
      <c r="F23" s="23"/>
      <c r="G23" s="15">
        <v>7.5</v>
      </c>
      <c r="H23" s="15"/>
      <c r="I23" s="15">
        <v>7.5</v>
      </c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</row>
    <row r="24" spans="1:21" x14ac:dyDescent="0.3">
      <c r="A24" s="3"/>
      <c r="B24" s="7" t="s">
        <v>89</v>
      </c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</row>
    <row r="25" spans="1:21" x14ac:dyDescent="0.3">
      <c r="A25" s="28"/>
      <c r="B25" s="23" t="s">
        <v>266</v>
      </c>
      <c r="C25" s="23"/>
      <c r="D25" s="21"/>
      <c r="E25" s="23"/>
      <c r="F25" s="23"/>
      <c r="G25" s="15">
        <v>9</v>
      </c>
      <c r="H25" s="15"/>
      <c r="I25" s="15"/>
      <c r="J25" s="15">
        <v>9</v>
      </c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</row>
    <row r="26" spans="1:21" x14ac:dyDescent="0.3">
      <c r="B26" s="23" t="s">
        <v>266</v>
      </c>
      <c r="C26" s="23"/>
      <c r="D26" s="21"/>
      <c r="E26" s="23"/>
      <c r="F26" s="23"/>
      <c r="G26" s="15">
        <v>7.5</v>
      </c>
      <c r="H26" s="15"/>
      <c r="I26" s="15"/>
      <c r="J26" s="15">
        <v>7.5</v>
      </c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</row>
    <row r="27" spans="1:21" x14ac:dyDescent="0.3">
      <c r="B27" s="23" t="s">
        <v>90</v>
      </c>
      <c r="C27" s="23"/>
      <c r="D27" s="21"/>
      <c r="E27" s="23"/>
      <c r="F27" s="23"/>
      <c r="G27" s="15">
        <v>1.5</v>
      </c>
      <c r="H27" s="15"/>
      <c r="I27" s="15"/>
      <c r="J27" s="15">
        <v>1.5</v>
      </c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</row>
    <row r="28" spans="1:21" x14ac:dyDescent="0.3">
      <c r="B28" s="23" t="s">
        <v>91</v>
      </c>
      <c r="C28" s="23"/>
      <c r="D28" s="21"/>
      <c r="E28" s="23"/>
      <c r="F28" s="23"/>
      <c r="G28" s="15">
        <v>4.5</v>
      </c>
      <c r="H28" s="15"/>
      <c r="I28" s="15"/>
      <c r="J28" s="15">
        <v>4.5</v>
      </c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</row>
    <row r="29" spans="1:21" x14ac:dyDescent="0.3">
      <c r="A29" s="28"/>
      <c r="B29" s="23" t="s">
        <v>92</v>
      </c>
      <c r="C29" s="23"/>
      <c r="D29" s="21"/>
      <c r="E29" s="23"/>
      <c r="F29" s="23"/>
      <c r="G29" s="15">
        <v>6</v>
      </c>
      <c r="H29" s="15"/>
      <c r="I29" s="15"/>
      <c r="J29" s="15">
        <v>6</v>
      </c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</row>
    <row r="30" spans="1:21" x14ac:dyDescent="0.3">
      <c r="A30" s="28"/>
      <c r="B30" s="23" t="s">
        <v>93</v>
      </c>
      <c r="C30" s="23"/>
      <c r="D30" s="21"/>
      <c r="E30" s="23"/>
      <c r="F30" s="23"/>
      <c r="G30" s="15">
        <v>6</v>
      </c>
      <c r="H30" s="15"/>
      <c r="I30" s="15"/>
      <c r="J30" s="15">
        <v>6</v>
      </c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</row>
    <row r="31" spans="1:21" x14ac:dyDescent="0.3">
      <c r="A31" s="28"/>
      <c r="B31" s="76" t="s">
        <v>255</v>
      </c>
      <c r="C31" s="23"/>
      <c r="D31" s="21"/>
      <c r="E31" s="23"/>
      <c r="F31" s="23"/>
      <c r="G31" s="15">
        <v>6</v>
      </c>
      <c r="H31" s="15"/>
      <c r="I31" s="15"/>
      <c r="J31" s="15">
        <v>6</v>
      </c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</row>
    <row r="32" spans="1:21" x14ac:dyDescent="0.3">
      <c r="A32" s="28"/>
      <c r="B32" s="23" t="s">
        <v>94</v>
      </c>
      <c r="C32" s="23"/>
      <c r="D32" s="21"/>
      <c r="E32" s="23"/>
      <c r="F32" s="23"/>
      <c r="G32" s="15">
        <v>6</v>
      </c>
      <c r="H32" s="15"/>
      <c r="I32" s="15"/>
      <c r="J32" s="15">
        <v>6</v>
      </c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</row>
    <row r="33" spans="1:21" x14ac:dyDescent="0.3">
      <c r="A33" s="28"/>
      <c r="B33" s="23" t="s">
        <v>95</v>
      </c>
      <c r="C33" s="23"/>
      <c r="D33" s="21"/>
      <c r="E33" s="23"/>
      <c r="F33" s="23"/>
      <c r="G33" s="15">
        <v>4.5</v>
      </c>
      <c r="H33" s="15"/>
      <c r="I33" s="15"/>
      <c r="J33" s="15">
        <v>4.5</v>
      </c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</row>
    <row r="34" spans="1:21" x14ac:dyDescent="0.3">
      <c r="A34" s="28"/>
      <c r="B34" s="23" t="s">
        <v>96</v>
      </c>
      <c r="C34" s="72"/>
      <c r="D34" s="21"/>
      <c r="E34" s="23"/>
      <c r="F34" s="23"/>
      <c r="G34" s="15">
        <v>6</v>
      </c>
      <c r="H34" s="15"/>
      <c r="I34" s="15"/>
      <c r="J34" s="15">
        <v>6</v>
      </c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</row>
    <row r="35" spans="1:21" x14ac:dyDescent="0.3">
      <c r="B35" s="23" t="s">
        <v>97</v>
      </c>
      <c r="C35" s="23"/>
      <c r="D35" s="21"/>
      <c r="E35" s="23"/>
      <c r="F35" s="23"/>
      <c r="G35" s="15">
        <v>7.5</v>
      </c>
      <c r="H35" s="15"/>
      <c r="I35" s="15"/>
      <c r="J35" s="15">
        <v>7.5</v>
      </c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</row>
    <row r="36" spans="1:21" x14ac:dyDescent="0.3">
      <c r="A36" s="28"/>
      <c r="B36" s="23" t="s">
        <v>98</v>
      </c>
      <c r="C36" s="23"/>
      <c r="D36" s="21"/>
      <c r="E36" s="23"/>
      <c r="F36" s="23"/>
      <c r="G36" s="15">
        <v>6</v>
      </c>
      <c r="H36" s="15"/>
      <c r="I36" s="15"/>
      <c r="J36" s="15">
        <v>6</v>
      </c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</row>
    <row r="37" spans="1:21" x14ac:dyDescent="0.3">
      <c r="B37" t="s">
        <v>217</v>
      </c>
      <c r="C37" s="23"/>
      <c r="D37" s="21"/>
      <c r="E37" s="23"/>
      <c r="F37" s="23"/>
      <c r="G37" s="15">
        <v>4.5</v>
      </c>
      <c r="H37" s="15"/>
      <c r="I37" s="15"/>
      <c r="J37" s="15">
        <v>4.5</v>
      </c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</row>
    <row r="38" spans="1:21" x14ac:dyDescent="0.3">
      <c r="B38" s="76" t="s">
        <v>259</v>
      </c>
      <c r="C38" s="23"/>
      <c r="D38" s="21"/>
      <c r="E38" s="23"/>
      <c r="F38" s="23"/>
      <c r="G38" s="15">
        <v>7.5</v>
      </c>
      <c r="H38" s="15"/>
      <c r="I38" s="15"/>
      <c r="J38" s="15">
        <v>7.5</v>
      </c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</row>
    <row r="39" spans="1:21" x14ac:dyDescent="0.3">
      <c r="A39" s="28"/>
      <c r="B39" s="76" t="s">
        <v>259</v>
      </c>
      <c r="C39" s="23"/>
      <c r="D39" s="21"/>
      <c r="E39" s="23"/>
      <c r="F39" s="23"/>
      <c r="G39" s="15">
        <v>10.5</v>
      </c>
      <c r="H39" s="15"/>
      <c r="I39" s="15"/>
      <c r="J39" s="15">
        <v>10.5</v>
      </c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</row>
    <row r="40" spans="1:21" x14ac:dyDescent="0.3">
      <c r="B40" s="23"/>
      <c r="C40" s="23"/>
      <c r="D40" s="23"/>
      <c r="E40" s="23"/>
      <c r="F40" s="23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</row>
    <row r="41" spans="1:21" x14ac:dyDescent="0.3">
      <c r="B41" s="23"/>
      <c r="C41" s="23"/>
      <c r="D41" s="23"/>
      <c r="E41" s="23"/>
      <c r="F41" s="23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</row>
    <row r="42" spans="1:21" x14ac:dyDescent="0.3">
      <c r="B42" s="23"/>
      <c r="C42" s="23"/>
      <c r="D42" s="23"/>
      <c r="E42" s="23"/>
      <c r="F42" s="23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</row>
    <row r="43" spans="1:21" x14ac:dyDescent="0.3">
      <c r="B43" s="23"/>
      <c r="C43" s="23"/>
      <c r="D43" s="23"/>
      <c r="E43" s="23"/>
      <c r="F43" s="23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</row>
    <row r="44" spans="1:21" x14ac:dyDescent="0.3">
      <c r="B44" s="23"/>
      <c r="C44" s="23"/>
      <c r="D44" s="23"/>
      <c r="E44" s="23"/>
      <c r="F44" s="23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x14ac:dyDescent="0.3">
      <c r="B45" s="23"/>
      <c r="C45" s="23"/>
      <c r="D45" s="23"/>
      <c r="E45" s="23"/>
      <c r="F45" s="23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</row>
    <row r="46" spans="1:21" x14ac:dyDescent="0.3">
      <c r="B46" s="23"/>
      <c r="C46" s="23"/>
      <c r="D46" s="23"/>
      <c r="E46" s="23"/>
      <c r="F46" s="23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</row>
    <row r="47" spans="1:21" x14ac:dyDescent="0.3">
      <c r="B47" s="23"/>
      <c r="C47" s="23"/>
      <c r="D47" s="23"/>
      <c r="E47" s="23"/>
      <c r="F47" s="23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</row>
    <row r="48" spans="1:21" x14ac:dyDescent="0.3">
      <c r="B48" s="23"/>
      <c r="C48" s="23"/>
      <c r="D48" s="23"/>
      <c r="E48" s="23"/>
      <c r="F48" s="23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</row>
    <row r="49" spans="2:21" x14ac:dyDescent="0.3">
      <c r="B49" s="23"/>
      <c r="C49" s="23"/>
      <c r="D49" s="23"/>
      <c r="E49" s="23"/>
      <c r="F49" s="23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</row>
    <row r="50" spans="2:21" x14ac:dyDescent="0.3">
      <c r="B50" s="23"/>
      <c r="C50" s="23"/>
      <c r="D50" s="23"/>
      <c r="E50" s="23"/>
      <c r="F50" s="23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</row>
    <row r="51" spans="2:21" x14ac:dyDescent="0.3">
      <c r="B51" s="23"/>
      <c r="C51" s="23"/>
      <c r="D51" s="23"/>
      <c r="E51" s="23"/>
      <c r="F51" s="23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</row>
    <row r="52" spans="2:21" x14ac:dyDescent="0.3">
      <c r="B52" s="23"/>
      <c r="C52" s="23"/>
      <c r="D52" s="23"/>
      <c r="E52" s="23"/>
      <c r="F52" s="23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</row>
    <row r="53" spans="2:21" x14ac:dyDescent="0.3">
      <c r="B53" s="23"/>
      <c r="C53" s="23"/>
      <c r="D53" s="23"/>
      <c r="E53" s="23"/>
      <c r="F53" s="23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</row>
    <row r="54" spans="2:21" x14ac:dyDescent="0.3">
      <c r="B54" s="23"/>
      <c r="C54" s="23"/>
      <c r="D54" s="23"/>
      <c r="E54" s="23"/>
      <c r="F54" s="23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</row>
    <row r="55" spans="2:21" x14ac:dyDescent="0.3">
      <c r="B55" s="23"/>
      <c r="C55" s="23"/>
      <c r="D55" s="23"/>
      <c r="E55" s="23"/>
      <c r="F55" s="23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</row>
    <row r="56" spans="2:21" x14ac:dyDescent="0.3">
      <c r="B56" s="23"/>
      <c r="C56" s="23"/>
      <c r="D56" s="23"/>
      <c r="E56" s="23"/>
      <c r="F56" s="23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</row>
    <row r="57" spans="2:21" x14ac:dyDescent="0.3">
      <c r="B57" s="23"/>
      <c r="C57" s="23"/>
      <c r="D57" s="23"/>
      <c r="E57" s="23"/>
      <c r="F57" s="23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</row>
    <row r="58" spans="2:21" x14ac:dyDescent="0.3">
      <c r="B58" s="23"/>
      <c r="C58" s="23"/>
      <c r="D58" s="23"/>
      <c r="E58" s="23"/>
      <c r="F58" s="23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</row>
    <row r="59" spans="2:21" x14ac:dyDescent="0.3">
      <c r="B59" s="23"/>
      <c r="C59" s="23"/>
      <c r="D59" s="23"/>
      <c r="E59" s="23"/>
      <c r="F59" s="23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</row>
    <row r="60" spans="2:21" x14ac:dyDescent="0.3">
      <c r="B60" s="23"/>
      <c r="C60" s="23"/>
      <c r="D60" s="23"/>
      <c r="E60" s="23"/>
      <c r="F60" s="23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</row>
    <row r="61" spans="2:21" x14ac:dyDescent="0.3">
      <c r="B61" s="23"/>
      <c r="C61" s="23"/>
      <c r="D61" s="23"/>
      <c r="E61" s="23"/>
      <c r="F61" s="23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</row>
    <row r="62" spans="2:21" x14ac:dyDescent="0.3">
      <c r="B62" s="23"/>
      <c r="C62" s="23"/>
      <c r="D62" s="23"/>
      <c r="E62" s="23"/>
      <c r="F62" s="23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</row>
    <row r="63" spans="2:21" x14ac:dyDescent="0.3">
      <c r="B63" s="23"/>
      <c r="C63" s="23"/>
      <c r="D63" s="23"/>
      <c r="E63" s="23"/>
      <c r="F63" s="23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2:21" x14ac:dyDescent="0.3">
      <c r="B64" s="23"/>
      <c r="C64" s="23"/>
      <c r="D64" s="23"/>
      <c r="E64" s="23"/>
      <c r="F64" s="23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2:21" x14ac:dyDescent="0.3">
      <c r="B65" s="23"/>
      <c r="C65" s="23"/>
      <c r="D65" s="23"/>
      <c r="E65" s="23"/>
      <c r="F65" s="23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2:21" x14ac:dyDescent="0.3">
      <c r="B66" s="23"/>
      <c r="C66" s="23"/>
      <c r="D66" s="23"/>
      <c r="E66" s="23"/>
      <c r="F66" s="23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</row>
    <row r="67" spans="2:21" x14ac:dyDescent="0.3">
      <c r="B67" s="23"/>
      <c r="C67" s="23"/>
      <c r="D67" s="23"/>
      <c r="E67" s="23"/>
      <c r="F67" s="23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</row>
    <row r="68" spans="2:21" x14ac:dyDescent="0.3">
      <c r="B68" s="23"/>
      <c r="C68" s="23"/>
      <c r="D68" s="23"/>
      <c r="E68" s="23"/>
      <c r="F68" s="23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</row>
    <row r="69" spans="2:21" x14ac:dyDescent="0.3">
      <c r="B69" s="23"/>
      <c r="C69" s="23"/>
      <c r="D69" s="23"/>
      <c r="E69" s="23"/>
      <c r="F69" s="23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</row>
    <row r="70" spans="2:21" x14ac:dyDescent="0.3">
      <c r="B70" s="23"/>
      <c r="C70" s="23"/>
      <c r="D70" s="23"/>
      <c r="E70" s="23"/>
      <c r="F70" s="23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2:21" x14ac:dyDescent="0.3">
      <c r="B71" s="23"/>
      <c r="C71" s="23"/>
      <c r="D71" s="23"/>
      <c r="E71" s="23"/>
      <c r="F71" s="23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2:21" x14ac:dyDescent="0.3">
      <c r="B72" s="23"/>
      <c r="C72" s="23"/>
      <c r="D72" s="23"/>
      <c r="E72" s="23"/>
      <c r="F72" s="23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2:21" x14ac:dyDescent="0.3">
      <c r="B73" s="23"/>
      <c r="C73" s="23"/>
      <c r="D73" s="23"/>
      <c r="E73" s="23"/>
      <c r="F73" s="23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2:21" x14ac:dyDescent="0.3">
      <c r="B74" s="23"/>
      <c r="C74" s="23"/>
      <c r="D74" s="23"/>
      <c r="E74" s="23"/>
      <c r="F74" s="23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2:21" x14ac:dyDescent="0.3">
      <c r="B75" s="23"/>
      <c r="C75" s="23"/>
      <c r="D75" s="23"/>
      <c r="E75" s="23"/>
      <c r="F75" s="23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</row>
    <row r="76" spans="2:21" x14ac:dyDescent="0.3">
      <c r="B76" s="23"/>
      <c r="C76" s="23"/>
      <c r="D76" s="23"/>
      <c r="E76" s="23"/>
      <c r="F76" s="23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</row>
    <row r="77" spans="2:21" x14ac:dyDescent="0.3">
      <c r="B77" s="23"/>
      <c r="C77" s="23"/>
      <c r="D77" s="23"/>
      <c r="E77" s="23"/>
      <c r="F77" s="23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</row>
    <row r="78" spans="2:21" x14ac:dyDescent="0.3">
      <c r="B78" s="23"/>
      <c r="C78" s="23"/>
      <c r="D78" s="23"/>
      <c r="E78" s="23"/>
      <c r="F78" s="23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2:21" x14ac:dyDescent="0.3">
      <c r="B79" s="23"/>
      <c r="C79" s="23"/>
      <c r="D79" s="23"/>
      <c r="E79" s="23"/>
      <c r="F79" s="23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2:21" x14ac:dyDescent="0.3">
      <c r="B80" s="23"/>
      <c r="C80" s="23"/>
      <c r="D80" s="23"/>
      <c r="E80" s="23"/>
      <c r="F80" s="23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2:21" x14ac:dyDescent="0.3">
      <c r="B81" s="23"/>
      <c r="C81" s="23"/>
      <c r="D81" s="23"/>
      <c r="E81" s="23"/>
      <c r="F81" s="23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2:21" x14ac:dyDescent="0.3">
      <c r="B82" s="23"/>
      <c r="C82" s="23"/>
      <c r="D82" s="23"/>
      <c r="E82" s="23"/>
      <c r="F82" s="23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2:21" x14ac:dyDescent="0.3">
      <c r="B83" s="23"/>
      <c r="C83" s="23"/>
      <c r="D83" s="23"/>
      <c r="E83" s="23"/>
      <c r="F83" s="23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2:21" x14ac:dyDescent="0.3">
      <c r="B84" s="23"/>
      <c r="C84" s="23"/>
      <c r="D84" s="23"/>
      <c r="E84" s="23"/>
      <c r="F84" s="23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2:21" x14ac:dyDescent="0.3">
      <c r="B85" s="23"/>
      <c r="C85" s="23"/>
      <c r="D85" s="23"/>
      <c r="E85" s="23"/>
      <c r="F85" s="23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2:21" x14ac:dyDescent="0.3">
      <c r="B86" s="23"/>
      <c r="C86" s="23"/>
      <c r="D86" s="23"/>
      <c r="E86" s="23"/>
      <c r="F86" s="23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</row>
    <row r="87" spans="2:21" x14ac:dyDescent="0.3">
      <c r="B87" s="23"/>
      <c r="C87" s="23"/>
      <c r="D87" s="23"/>
      <c r="E87" s="23"/>
      <c r="F87" s="23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</row>
    <row r="88" spans="2:21" x14ac:dyDescent="0.3">
      <c r="B88" s="23"/>
      <c r="C88" s="23"/>
      <c r="D88" s="23"/>
      <c r="E88" s="23"/>
      <c r="F88" s="23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</row>
    <row r="89" spans="2:21" x14ac:dyDescent="0.3">
      <c r="B89" s="23"/>
      <c r="C89" s="23"/>
      <c r="D89" s="23"/>
      <c r="E89" s="23"/>
      <c r="F89" s="23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</row>
    <row r="90" spans="2:21" x14ac:dyDescent="0.3">
      <c r="B90" s="23"/>
      <c r="C90" s="23"/>
      <c r="D90" s="23"/>
      <c r="E90" s="23"/>
      <c r="F90" s="23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</row>
    <row r="91" spans="2:21" x14ac:dyDescent="0.3">
      <c r="B91" s="23"/>
      <c r="C91" s="23"/>
      <c r="D91" s="23"/>
      <c r="E91" s="23"/>
      <c r="F91" s="23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</row>
    <row r="92" spans="2:21" x14ac:dyDescent="0.3">
      <c r="B92" s="23"/>
      <c r="C92" s="23"/>
      <c r="D92" s="23"/>
      <c r="E92" s="23"/>
      <c r="F92" s="23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2:21" x14ac:dyDescent="0.3">
      <c r="B93" s="23"/>
      <c r="C93" s="23"/>
      <c r="D93" s="23"/>
      <c r="E93" s="23"/>
      <c r="F93" s="23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2:21" x14ac:dyDescent="0.3">
      <c r="B94" s="23"/>
      <c r="C94" s="23"/>
      <c r="D94" s="23"/>
      <c r="E94" s="23"/>
      <c r="F94" s="23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2:21" x14ac:dyDescent="0.3">
      <c r="B95" s="23"/>
      <c r="C95" s="23"/>
      <c r="D95" s="23"/>
      <c r="E95" s="23"/>
      <c r="F95" s="23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2:21" x14ac:dyDescent="0.3">
      <c r="B96" s="23"/>
      <c r="C96" s="23"/>
      <c r="D96" s="23"/>
      <c r="E96" s="23"/>
      <c r="F96" s="23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2:21" x14ac:dyDescent="0.3">
      <c r="B97" s="23"/>
      <c r="C97" s="23"/>
      <c r="D97" s="23"/>
      <c r="E97" s="23"/>
      <c r="F97" s="23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2:21" x14ac:dyDescent="0.3">
      <c r="B98" s="23"/>
      <c r="C98" s="23"/>
      <c r="D98" s="23"/>
      <c r="E98" s="23"/>
      <c r="F98" s="23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</row>
  </sheetData>
  <mergeCells count="5">
    <mergeCell ref="H4:J4"/>
    <mergeCell ref="K4:L4"/>
    <mergeCell ref="M4:U4"/>
    <mergeCell ref="G2:U2"/>
    <mergeCell ref="H3:U3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7"/>
  <dimension ref="A2:U58"/>
  <sheetViews>
    <sheetView zoomScaleNormal="100" workbookViewId="0">
      <pane ySplit="6" topLeftCell="A10" activePane="bottomLeft" state="frozen"/>
      <selection pane="bottomLeft"/>
    </sheetView>
  </sheetViews>
  <sheetFormatPr defaultColWidth="8.88671875" defaultRowHeight="14.4" x14ac:dyDescent="0.3"/>
  <cols>
    <col min="1" max="1" width="9.33203125" style="17" bestFit="1" customWidth="1"/>
    <col min="2" max="2" width="81.109375" style="24" customWidth="1"/>
    <col min="3" max="3" width="8.109375" style="17" bestFit="1" customWidth="1"/>
    <col min="4" max="4" width="18" style="17" customWidth="1"/>
    <col min="5" max="5" width="20.44140625" style="24" customWidth="1"/>
    <col min="6" max="6" width="29.6640625" style="24" bestFit="1" customWidth="1"/>
    <col min="7" max="7" width="5" style="24" bestFit="1" customWidth="1"/>
    <col min="8" max="8" width="6.88671875" style="24" bestFit="1" customWidth="1"/>
    <col min="9" max="9" width="8.109375" style="24" customWidth="1"/>
    <col min="10" max="10" width="4" style="24" bestFit="1" customWidth="1"/>
    <col min="11" max="11" width="5.88671875" style="24" customWidth="1"/>
    <col min="12" max="12" width="5" style="24" customWidth="1"/>
    <col min="13" max="13" width="4.33203125" style="24" customWidth="1"/>
    <col min="14" max="14" width="4.44140625" style="24" bestFit="1" customWidth="1"/>
    <col min="15" max="16" width="6.88671875" style="24" bestFit="1" customWidth="1"/>
    <col min="17" max="17" width="6.109375" style="24" bestFit="1" customWidth="1"/>
    <col min="18" max="18" width="4.44140625" style="24" bestFit="1" customWidth="1"/>
    <col min="19" max="19" width="5.109375" style="24" bestFit="1" customWidth="1"/>
    <col min="20" max="20" width="5" style="24" customWidth="1"/>
    <col min="21" max="21" width="5.6640625" style="24" customWidth="1"/>
    <col min="22" max="22" width="8.88671875" style="24" customWidth="1"/>
    <col min="23" max="16384" width="8.88671875" style="24"/>
  </cols>
  <sheetData>
    <row r="2" spans="1:21" x14ac:dyDescent="0.3">
      <c r="G2" s="122" t="str">
        <f>Sammanfattning!G20</f>
        <v>Högskolepoäng (hp)</v>
      </c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</row>
    <row r="3" spans="1:21" x14ac:dyDescent="0.3">
      <c r="G3" s="19"/>
      <c r="H3" s="125" t="str">
        <f>Sammanfattning!H21</f>
        <v>Varav (hp)…</v>
      </c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/>
    </row>
    <row r="4" spans="1:21" x14ac:dyDescent="0.3">
      <c r="H4" s="97" t="str">
        <f>Sammanfattning!H22</f>
        <v>Baskurser (hp)</v>
      </c>
      <c r="I4" s="81"/>
      <c r="J4" s="98"/>
      <c r="K4" s="97" t="str">
        <f>Sammanfattning!K22</f>
        <v>Övriga kurser</v>
      </c>
      <c r="L4" s="98"/>
      <c r="M4" s="122" t="str">
        <f>Sammanfattning!M22</f>
        <v>Övriga krav</v>
      </c>
      <c r="N4" s="123"/>
      <c r="O4" s="123"/>
      <c r="P4" s="123"/>
      <c r="Q4" s="123"/>
      <c r="R4" s="123"/>
      <c r="S4" s="123"/>
      <c r="T4" s="123"/>
      <c r="U4" s="124"/>
    </row>
    <row r="5" spans="1:21" x14ac:dyDescent="0.3">
      <c r="A5" s="60" t="str">
        <f>Sammanfattning!A23</f>
        <v>1.</v>
      </c>
      <c r="B5" s="60" t="str">
        <f>Sammanfattning!B23</f>
        <v>2.</v>
      </c>
      <c r="C5" s="60" t="str">
        <f>Sammanfattning!C23</f>
        <v>3.</v>
      </c>
      <c r="D5" s="60" t="str">
        <f>Sammanfattning!D23</f>
        <v>4.</v>
      </c>
      <c r="E5" s="60" t="str">
        <f>Sammanfattning!E23</f>
        <v>5.</v>
      </c>
      <c r="F5" s="60" t="str">
        <f>Sammanfattning!F23</f>
        <v>6.</v>
      </c>
      <c r="G5" s="1" t="str">
        <f>Sammanfattning!G23</f>
        <v>7.</v>
      </c>
      <c r="H5" s="1" t="str">
        <f>Sammanfattning!H23</f>
        <v>8.</v>
      </c>
      <c r="I5" s="1" t="str">
        <f>Sammanfattning!I23</f>
        <v>9.</v>
      </c>
      <c r="J5" s="1" t="str">
        <f>Sammanfattning!J23</f>
        <v>10.</v>
      </c>
      <c r="K5" s="1" t="str">
        <f>Sammanfattning!K23</f>
        <v>11.</v>
      </c>
      <c r="L5" s="1" t="str">
        <f>Sammanfattning!L23</f>
        <v>12.</v>
      </c>
      <c r="M5" s="10" t="str">
        <f>Sammanfattning!M23</f>
        <v>13.</v>
      </c>
      <c r="N5" s="10" t="str">
        <f>Sammanfattning!N23</f>
        <v>13.1</v>
      </c>
      <c r="O5" s="10" t="str">
        <f>Sammanfattning!O23</f>
        <v>13.2</v>
      </c>
      <c r="P5" s="10" t="str">
        <f>Sammanfattning!P23</f>
        <v>13.3</v>
      </c>
      <c r="Q5" s="10" t="str">
        <f>Sammanfattning!Q23</f>
        <v>13.4</v>
      </c>
      <c r="R5" s="10" t="str">
        <f>Sammanfattning!R23</f>
        <v>14.</v>
      </c>
      <c r="S5" s="10" t="str">
        <f>Sammanfattning!S23</f>
        <v>15.</v>
      </c>
      <c r="T5" s="10" t="str">
        <f>Sammanfattning!T23</f>
        <v>16.</v>
      </c>
      <c r="U5" s="11" t="str">
        <f>Sammanfattning!U23</f>
        <v>17.</v>
      </c>
    </row>
    <row r="6" spans="1:21" x14ac:dyDescent="0.3">
      <c r="A6" s="13" t="str">
        <f>Sammanfattning!A24</f>
        <v>Checkbox</v>
      </c>
      <c r="B6" s="13" t="str">
        <f>Sammanfattning!B24</f>
        <v>Kursnamn</v>
      </c>
      <c r="C6" s="13" t="str">
        <f>Sammanfattning!C24</f>
        <v>Kurskod</v>
      </c>
      <c r="D6" s="13" t="str">
        <f>Sammanfattning!D24</f>
        <v>Datum (ååååmmdd)</v>
      </c>
      <c r="E6" s="13" t="str">
        <f>Sammanfattning!E24</f>
        <v>Studentens kommentar</v>
      </c>
      <c r="F6" s="13" t="str">
        <f>Sammanfattning!F24</f>
        <v>Programledningens kommentar</v>
      </c>
      <c r="G6" s="13" t="str">
        <f>Sammanfattning!G24</f>
        <v>Hp</v>
      </c>
      <c r="H6" s="13" t="str">
        <f>Sammanfattning!H24</f>
        <v>MaBer</v>
      </c>
      <c r="I6" s="13" t="str">
        <f>Sammanfattning!I24</f>
        <v>StatMät</v>
      </c>
      <c r="J6" s="13" t="str">
        <f>Sammanfattning!J24</f>
        <v>FyT</v>
      </c>
      <c r="K6" s="13" t="str">
        <f>Sammanfattning!K24</f>
        <v>Aing</v>
      </c>
      <c r="L6" s="13" t="str">
        <f>Sammanfattning!L24</f>
        <v>Prof</v>
      </c>
      <c r="M6" s="13" t="str">
        <f>Sammanfattning!M24</f>
        <v>PL</v>
      </c>
      <c r="N6" s="13" t="str">
        <f>Sammanfattning!N24</f>
        <v>PaN</v>
      </c>
      <c r="O6" s="13" t="str">
        <f>Sammanfattning!O24</f>
        <v>PaSam</v>
      </c>
      <c r="P6" s="13" t="str">
        <f>Sammanfattning!P24</f>
        <v>PaStor</v>
      </c>
      <c r="Q6" s="13" t="str">
        <f>Sammanfattning!Q24</f>
        <v>PaTot</v>
      </c>
      <c r="R6" s="13" t="str">
        <f>Sammanfattning!R24</f>
        <v>Hut</v>
      </c>
      <c r="S6" s="13" t="str">
        <f>Sammanfattning!S24</f>
        <v>Data</v>
      </c>
      <c r="T6" s="13" t="str">
        <f>Sammanfattning!T24</f>
        <v>Avn</v>
      </c>
      <c r="U6" s="14" t="str">
        <f>Sammanfattning!U24</f>
        <v>Fria</v>
      </c>
    </row>
    <row r="7" spans="1:21" x14ac:dyDescent="0.3">
      <c r="A7" s="3"/>
      <c r="B7" s="7" t="s">
        <v>3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</row>
    <row r="8" spans="1:21" x14ac:dyDescent="0.3">
      <c r="B8" s="23" t="s">
        <v>99</v>
      </c>
      <c r="C8" s="23"/>
      <c r="D8" s="21"/>
      <c r="E8" s="23"/>
      <c r="F8" s="23"/>
      <c r="G8" s="15">
        <v>6</v>
      </c>
      <c r="H8" s="15"/>
      <c r="I8" s="15"/>
      <c r="J8" s="15"/>
      <c r="K8" s="15">
        <v>6</v>
      </c>
      <c r="L8" s="15"/>
      <c r="M8" s="15"/>
      <c r="N8" s="15"/>
      <c r="O8" s="15"/>
      <c r="P8" s="15"/>
      <c r="Q8" s="15"/>
      <c r="R8" s="15"/>
      <c r="S8" s="15"/>
      <c r="T8" s="15"/>
      <c r="U8" s="15"/>
    </row>
    <row r="9" spans="1:21" x14ac:dyDescent="0.3">
      <c r="B9" s="23" t="s">
        <v>100</v>
      </c>
      <c r="C9" s="23"/>
      <c r="D9" s="21"/>
      <c r="E9" s="23"/>
      <c r="F9" s="23"/>
      <c r="G9" s="15">
        <v>7.5</v>
      </c>
      <c r="H9" s="15"/>
      <c r="I9" s="15"/>
      <c r="J9" s="15"/>
      <c r="K9" s="15">
        <v>7.5</v>
      </c>
      <c r="L9" s="15"/>
      <c r="M9" s="15"/>
      <c r="N9" s="15"/>
      <c r="O9" s="15"/>
      <c r="P9" s="15"/>
      <c r="Q9" s="15"/>
      <c r="R9" s="15"/>
      <c r="S9" s="15"/>
      <c r="T9" s="15"/>
      <c r="U9" s="15"/>
    </row>
    <row r="10" spans="1:21" x14ac:dyDescent="0.3">
      <c r="B10" t="s">
        <v>213</v>
      </c>
      <c r="C10" s="23"/>
      <c r="D10" s="21"/>
      <c r="E10" s="23"/>
      <c r="F10" s="23"/>
      <c r="G10" s="15">
        <v>7.5</v>
      </c>
      <c r="H10" s="15"/>
      <c r="I10" s="15"/>
      <c r="J10" s="15"/>
      <c r="K10" s="15">
        <v>7.5</v>
      </c>
      <c r="L10" s="15"/>
      <c r="M10" s="15"/>
      <c r="N10" s="15"/>
      <c r="O10" s="15"/>
      <c r="P10" s="69"/>
      <c r="Q10" s="15"/>
      <c r="R10" s="15"/>
      <c r="S10" s="15"/>
      <c r="T10" s="15">
        <v>7.5</v>
      </c>
      <c r="U10" s="15"/>
    </row>
    <row r="11" spans="1:21" x14ac:dyDescent="0.3">
      <c r="B11" t="s">
        <v>214</v>
      </c>
      <c r="C11" s="23"/>
      <c r="D11" s="21"/>
      <c r="E11" s="23"/>
      <c r="F11" s="23"/>
      <c r="G11" s="15">
        <v>7.5</v>
      </c>
      <c r="H11" s="15"/>
      <c r="I11" s="15"/>
      <c r="J11" s="15"/>
      <c r="K11" s="15">
        <v>7.5</v>
      </c>
      <c r="L11" s="15"/>
      <c r="M11" s="15"/>
      <c r="N11" s="15"/>
      <c r="O11" s="15"/>
      <c r="P11" s="15"/>
      <c r="Q11" s="15"/>
      <c r="R11" s="15"/>
      <c r="S11" s="15"/>
      <c r="T11" s="15"/>
      <c r="U11" s="15"/>
    </row>
    <row r="12" spans="1:21" x14ac:dyDescent="0.3">
      <c r="B12" s="23" t="s">
        <v>101</v>
      </c>
      <c r="C12" s="23"/>
      <c r="D12" s="21"/>
      <c r="E12" s="23"/>
      <c r="F12" s="23"/>
      <c r="G12" s="15">
        <v>15</v>
      </c>
      <c r="H12" s="15"/>
      <c r="I12" s="15"/>
      <c r="J12" s="15"/>
      <c r="K12" s="15">
        <v>15</v>
      </c>
      <c r="L12" s="15"/>
      <c r="M12" s="15">
        <v>7.5</v>
      </c>
      <c r="N12" s="15">
        <v>7.5</v>
      </c>
      <c r="O12" s="15">
        <v>7.5</v>
      </c>
      <c r="P12" s="15">
        <v>7.5</v>
      </c>
      <c r="Q12" s="15">
        <v>7.5</v>
      </c>
      <c r="R12" s="15"/>
      <c r="S12" s="15"/>
      <c r="T12" s="15">
        <v>7.5</v>
      </c>
      <c r="U12" s="15"/>
    </row>
    <row r="13" spans="1:21" x14ac:dyDescent="0.3">
      <c r="B13" s="23" t="s">
        <v>102</v>
      </c>
      <c r="C13" s="23"/>
      <c r="D13" s="21"/>
      <c r="E13" s="23"/>
      <c r="F13" s="23"/>
      <c r="G13" s="15">
        <v>4.5</v>
      </c>
      <c r="H13" s="15"/>
      <c r="I13" s="15"/>
      <c r="J13" s="15"/>
      <c r="K13" s="15">
        <v>4.5</v>
      </c>
      <c r="L13" s="15"/>
      <c r="M13" s="15"/>
      <c r="N13" s="15"/>
      <c r="O13" s="15"/>
      <c r="P13" s="15"/>
      <c r="Q13" s="15"/>
      <c r="R13" s="15"/>
      <c r="S13" s="15"/>
      <c r="T13" s="15"/>
      <c r="U13" s="15"/>
    </row>
    <row r="14" spans="1:21" x14ac:dyDescent="0.3">
      <c r="B14" s="23" t="s">
        <v>103</v>
      </c>
      <c r="C14" s="23"/>
      <c r="D14" s="21"/>
      <c r="E14" s="23"/>
      <c r="F14" s="23"/>
      <c r="G14" s="15">
        <v>7.5</v>
      </c>
      <c r="H14" s="15"/>
      <c r="I14" s="15"/>
      <c r="J14" s="15"/>
      <c r="K14" s="15">
        <v>7.5</v>
      </c>
      <c r="L14" s="15"/>
      <c r="M14" s="15"/>
      <c r="N14" s="15"/>
      <c r="O14" s="15"/>
      <c r="P14" s="15"/>
      <c r="Q14" s="15"/>
      <c r="R14" s="15"/>
      <c r="S14" s="15"/>
      <c r="T14" s="15"/>
      <c r="U14" s="15"/>
    </row>
    <row r="15" spans="1:21" x14ac:dyDescent="0.3">
      <c r="B15" s="23" t="s">
        <v>104</v>
      </c>
      <c r="C15" s="23"/>
      <c r="D15" s="21"/>
      <c r="E15" s="23"/>
      <c r="F15" s="23"/>
      <c r="G15" s="15">
        <v>7.5</v>
      </c>
      <c r="H15" s="15"/>
      <c r="I15" s="15"/>
      <c r="J15" s="15"/>
      <c r="K15" s="15">
        <v>7.5</v>
      </c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 ht="15" customHeight="1" x14ac:dyDescent="0.3">
      <c r="B16" s="23" t="s">
        <v>105</v>
      </c>
      <c r="C16" s="23"/>
      <c r="D16" s="21"/>
      <c r="E16" s="23"/>
      <c r="F16" s="23"/>
      <c r="G16" s="15">
        <v>7.5</v>
      </c>
      <c r="H16" s="15"/>
      <c r="I16" s="15"/>
      <c r="J16" s="15"/>
      <c r="K16" s="15">
        <v>7.5</v>
      </c>
      <c r="L16" s="15"/>
      <c r="M16" s="15"/>
      <c r="N16" s="15"/>
      <c r="O16" s="15"/>
      <c r="P16" s="15"/>
      <c r="Q16" s="15"/>
      <c r="R16" s="15"/>
      <c r="S16" s="15"/>
      <c r="T16" s="15"/>
      <c r="U16" s="15"/>
    </row>
    <row r="17" spans="1:21" x14ac:dyDescent="0.3">
      <c r="B17" s="76" t="s">
        <v>260</v>
      </c>
      <c r="C17" s="23"/>
      <c r="D17" s="21"/>
      <c r="E17" s="23"/>
      <c r="F17" s="23"/>
      <c r="G17" s="15">
        <v>15</v>
      </c>
      <c r="H17" s="15"/>
      <c r="I17" s="15"/>
      <c r="J17" s="15"/>
      <c r="K17" s="15">
        <v>15</v>
      </c>
      <c r="L17" s="15"/>
      <c r="M17" s="15"/>
      <c r="N17" s="15"/>
      <c r="O17" s="69">
        <v>15</v>
      </c>
      <c r="P17" s="15"/>
      <c r="Q17" s="15">
        <v>15</v>
      </c>
      <c r="R17" s="15"/>
      <c r="S17" s="15"/>
      <c r="T17" s="15"/>
      <c r="U17" s="15"/>
    </row>
    <row r="18" spans="1:21" x14ac:dyDescent="0.3">
      <c r="B18" s="76" t="s">
        <v>260</v>
      </c>
      <c r="C18" s="23"/>
      <c r="D18" s="21"/>
      <c r="E18" s="23"/>
      <c r="F18" s="23"/>
      <c r="G18" s="15">
        <v>3</v>
      </c>
      <c r="H18" s="15"/>
      <c r="I18" s="15"/>
      <c r="J18" s="15"/>
      <c r="K18" s="15">
        <v>3</v>
      </c>
      <c r="L18" s="15"/>
      <c r="M18" s="15"/>
      <c r="N18" s="15"/>
      <c r="O18" s="15"/>
      <c r="P18" s="15"/>
      <c r="Q18" s="15">
        <v>3</v>
      </c>
      <c r="R18" s="15"/>
      <c r="S18" s="15"/>
      <c r="T18" s="15"/>
      <c r="U18" s="15"/>
    </row>
    <row r="19" spans="1:21" x14ac:dyDescent="0.3">
      <c r="B19" s="76" t="s">
        <v>260</v>
      </c>
      <c r="C19" s="23"/>
      <c r="D19" s="21"/>
      <c r="E19" s="23"/>
      <c r="F19" s="23"/>
      <c r="G19" s="15">
        <v>4.5</v>
      </c>
      <c r="H19" s="15"/>
      <c r="I19" s="15"/>
      <c r="J19" s="15"/>
      <c r="K19" s="15">
        <v>4.5</v>
      </c>
      <c r="L19" s="15"/>
      <c r="M19" s="15"/>
      <c r="N19" s="15"/>
      <c r="O19" s="15"/>
      <c r="P19" s="15"/>
      <c r="Q19" s="15">
        <v>4.5</v>
      </c>
      <c r="R19" s="15"/>
      <c r="S19" s="15"/>
      <c r="T19" s="15"/>
      <c r="U19" s="15"/>
    </row>
    <row r="20" spans="1:21" x14ac:dyDescent="0.3">
      <c r="B20" s="76" t="s">
        <v>260</v>
      </c>
      <c r="C20" s="23"/>
      <c r="D20" s="21"/>
      <c r="E20" s="23"/>
      <c r="F20" s="23"/>
      <c r="G20" s="15">
        <v>6</v>
      </c>
      <c r="H20" s="15"/>
      <c r="I20" s="15"/>
      <c r="J20" s="15"/>
      <c r="K20" s="15">
        <v>6</v>
      </c>
      <c r="L20" s="15"/>
      <c r="M20" s="15"/>
      <c r="N20" s="15"/>
      <c r="O20" s="15"/>
      <c r="P20" s="15"/>
      <c r="Q20" s="15">
        <v>6</v>
      </c>
      <c r="R20" s="15"/>
      <c r="S20" s="15"/>
      <c r="T20" s="15"/>
      <c r="U20" s="15"/>
    </row>
    <row r="21" spans="1:21" x14ac:dyDescent="0.3">
      <c r="B21" s="76" t="s">
        <v>260</v>
      </c>
      <c r="C21" s="23"/>
      <c r="D21" s="21"/>
      <c r="E21" s="23"/>
      <c r="F21" s="23"/>
      <c r="G21" s="15">
        <v>7.5</v>
      </c>
      <c r="H21" s="15"/>
      <c r="I21" s="15"/>
      <c r="J21" s="15"/>
      <c r="K21" s="15">
        <v>7.5</v>
      </c>
      <c r="L21" s="15"/>
      <c r="M21" s="15"/>
      <c r="N21" s="15"/>
      <c r="O21" s="69">
        <v>7.5</v>
      </c>
      <c r="P21" s="15"/>
      <c r="Q21" s="15">
        <v>7.5</v>
      </c>
      <c r="R21" s="15"/>
      <c r="S21" s="15"/>
      <c r="T21" s="15"/>
      <c r="U21" s="15"/>
    </row>
    <row r="22" spans="1:21" x14ac:dyDescent="0.3">
      <c r="B22" s="23" t="s">
        <v>106</v>
      </c>
      <c r="C22" s="23"/>
      <c r="D22" s="21"/>
      <c r="E22" s="23"/>
      <c r="F22" s="23"/>
      <c r="G22" s="15">
        <v>3.5</v>
      </c>
      <c r="H22" s="15"/>
      <c r="I22" s="15"/>
      <c r="J22" s="15"/>
      <c r="K22" s="15">
        <v>3.5</v>
      </c>
      <c r="L22" s="15"/>
      <c r="M22" s="15"/>
      <c r="N22" s="15"/>
      <c r="O22" s="69"/>
      <c r="P22" s="15"/>
      <c r="Q22" s="15"/>
      <c r="R22" s="15"/>
      <c r="S22" s="15"/>
      <c r="T22" s="15"/>
      <c r="U22" s="15"/>
    </row>
    <row r="23" spans="1:21" x14ac:dyDescent="0.3">
      <c r="B23" s="23" t="s">
        <v>107</v>
      </c>
      <c r="C23" s="23"/>
      <c r="D23" s="21"/>
      <c r="E23" s="23"/>
      <c r="F23" s="23"/>
      <c r="G23" s="15">
        <v>7.5</v>
      </c>
      <c r="H23" s="15"/>
      <c r="I23" s="15"/>
      <c r="J23" s="15"/>
      <c r="K23" s="15">
        <v>7.5</v>
      </c>
      <c r="L23" s="15"/>
      <c r="M23" s="15"/>
      <c r="N23" s="15"/>
      <c r="O23" s="69"/>
      <c r="P23" s="15"/>
      <c r="Q23" s="15"/>
      <c r="R23" s="15">
        <v>7.5</v>
      </c>
      <c r="S23" s="15"/>
      <c r="T23" s="15"/>
      <c r="U23" s="15"/>
    </row>
    <row r="24" spans="1:21" x14ac:dyDescent="0.3">
      <c r="B24" s="23" t="s">
        <v>108</v>
      </c>
      <c r="C24" s="23"/>
      <c r="D24" s="21"/>
      <c r="E24" s="23"/>
      <c r="F24" s="23"/>
      <c r="G24" s="15">
        <v>7.5</v>
      </c>
      <c r="H24" s="15"/>
      <c r="I24" s="15"/>
      <c r="J24" s="15"/>
      <c r="K24" s="15">
        <v>7.5</v>
      </c>
      <c r="L24" s="15"/>
      <c r="M24" s="15"/>
      <c r="N24" s="15"/>
      <c r="O24" s="69"/>
      <c r="P24" s="15"/>
      <c r="Q24" s="15"/>
      <c r="R24" s="15">
        <v>7.5</v>
      </c>
      <c r="S24" s="15"/>
      <c r="T24" s="15"/>
      <c r="U24" s="15"/>
    </row>
    <row r="25" spans="1:21" x14ac:dyDescent="0.3">
      <c r="B25" s="23" t="s">
        <v>109</v>
      </c>
      <c r="C25" s="23"/>
      <c r="D25" s="21"/>
      <c r="E25" s="23"/>
      <c r="F25" s="23"/>
      <c r="G25" s="15">
        <v>6</v>
      </c>
      <c r="H25" s="15"/>
      <c r="I25" s="15"/>
      <c r="J25" s="15"/>
      <c r="K25" s="15">
        <v>6</v>
      </c>
      <c r="L25" s="15"/>
      <c r="M25" s="15"/>
      <c r="N25" s="15"/>
      <c r="O25" s="69"/>
      <c r="P25" s="15"/>
      <c r="Q25" s="15"/>
      <c r="R25" s="15"/>
      <c r="S25" s="15"/>
      <c r="T25" s="15"/>
      <c r="U25" s="15"/>
    </row>
    <row r="26" spans="1:21" x14ac:dyDescent="0.3">
      <c r="B26" s="23" t="s">
        <v>110</v>
      </c>
      <c r="C26" s="23"/>
      <c r="D26" s="21"/>
      <c r="E26" s="23"/>
      <c r="F26" s="23"/>
      <c r="G26" s="15">
        <v>7.5</v>
      </c>
      <c r="H26" s="15"/>
      <c r="I26" s="15"/>
      <c r="J26" s="15"/>
      <c r="K26" s="15">
        <v>7.5</v>
      </c>
      <c r="L26" s="15"/>
      <c r="M26" s="15"/>
      <c r="N26" s="15"/>
      <c r="O26" s="69"/>
      <c r="P26" s="15"/>
      <c r="Q26" s="15"/>
      <c r="R26" s="15"/>
      <c r="S26" s="15"/>
      <c r="T26" s="15"/>
      <c r="U26" s="15"/>
    </row>
    <row r="27" spans="1:21" x14ac:dyDescent="0.3">
      <c r="B27" s="23" t="s">
        <v>111</v>
      </c>
      <c r="C27" s="23"/>
      <c r="D27" s="21"/>
      <c r="E27" s="23"/>
      <c r="F27" s="23"/>
      <c r="G27" s="15">
        <v>7.5</v>
      </c>
      <c r="H27" s="15"/>
      <c r="I27" s="15"/>
      <c r="J27" s="15"/>
      <c r="K27" s="15">
        <v>4.5</v>
      </c>
      <c r="L27" s="15"/>
      <c r="M27" s="15"/>
      <c r="N27" s="15"/>
      <c r="O27" s="69"/>
      <c r="P27" s="15"/>
      <c r="Q27" s="15">
        <v>2.5</v>
      </c>
      <c r="R27" s="15"/>
      <c r="S27" s="15"/>
      <c r="T27" s="15"/>
      <c r="U27" s="15"/>
    </row>
    <row r="28" spans="1:21" x14ac:dyDescent="0.3">
      <c r="A28" s="78"/>
      <c r="B28" s="76" t="s">
        <v>112</v>
      </c>
      <c r="C28" s="76"/>
      <c r="D28" s="79"/>
      <c r="E28" s="76"/>
      <c r="F28" s="76"/>
      <c r="G28" s="69">
        <v>7.5</v>
      </c>
      <c r="H28" s="69"/>
      <c r="I28" s="69"/>
      <c r="J28" s="69"/>
      <c r="K28" s="69">
        <v>7.5</v>
      </c>
      <c r="L28" s="69"/>
      <c r="M28" s="69"/>
      <c r="N28" s="69"/>
      <c r="O28" s="69"/>
      <c r="P28" s="69">
        <v>1</v>
      </c>
      <c r="Q28" s="69">
        <v>1</v>
      </c>
      <c r="R28" s="69"/>
      <c r="S28" s="69"/>
      <c r="T28" s="69"/>
      <c r="U28" s="69"/>
    </row>
    <row r="29" spans="1:21" x14ac:dyDescent="0.3">
      <c r="B29" s="23" t="s">
        <v>113</v>
      </c>
      <c r="C29" s="23"/>
      <c r="D29" s="21"/>
      <c r="E29" s="23"/>
      <c r="F29" s="23"/>
      <c r="G29" s="15">
        <v>7.5</v>
      </c>
      <c r="H29" s="15"/>
      <c r="I29" s="15"/>
      <c r="J29" s="15"/>
      <c r="K29" s="15">
        <v>7.5</v>
      </c>
      <c r="L29" s="15"/>
      <c r="M29" s="15"/>
      <c r="N29" s="15"/>
      <c r="O29" s="69"/>
      <c r="P29" s="15"/>
      <c r="Q29" s="15"/>
      <c r="R29" s="15"/>
      <c r="S29" s="15"/>
      <c r="T29" s="15"/>
      <c r="U29" s="15"/>
    </row>
    <row r="30" spans="1:21" x14ac:dyDescent="0.3">
      <c r="B30" s="23" t="s">
        <v>114</v>
      </c>
      <c r="C30" s="23"/>
      <c r="D30" s="21"/>
      <c r="E30" s="23"/>
      <c r="F30" s="23"/>
      <c r="G30" s="15">
        <v>12.5</v>
      </c>
      <c r="H30" s="15"/>
      <c r="I30" s="15"/>
      <c r="J30" s="15"/>
      <c r="K30" s="15">
        <v>12.5</v>
      </c>
      <c r="L30" s="15"/>
      <c r="M30" s="15"/>
      <c r="N30" s="15"/>
      <c r="O30" s="69"/>
      <c r="P30" s="15"/>
      <c r="Q30" s="15"/>
      <c r="R30" s="15"/>
      <c r="S30" s="15"/>
      <c r="T30" s="15">
        <v>12.5</v>
      </c>
      <c r="U30" s="15"/>
    </row>
    <row r="31" spans="1:21" x14ac:dyDescent="0.3">
      <c r="B31" s="77" t="s">
        <v>261</v>
      </c>
      <c r="C31" s="23"/>
      <c r="D31" s="21"/>
      <c r="E31" s="23"/>
      <c r="F31" s="23"/>
      <c r="G31" s="15">
        <v>3</v>
      </c>
      <c r="H31" s="15"/>
      <c r="I31" s="15"/>
      <c r="J31" s="15"/>
      <c r="K31" s="15">
        <v>3</v>
      </c>
      <c r="L31" s="15"/>
      <c r="M31" s="15"/>
      <c r="N31" s="15"/>
      <c r="O31" s="69"/>
      <c r="P31" s="15"/>
      <c r="Q31" s="15">
        <v>3</v>
      </c>
      <c r="R31" s="15"/>
      <c r="S31" s="15"/>
      <c r="T31" s="15"/>
      <c r="U31" s="15"/>
    </row>
    <row r="32" spans="1:21" x14ac:dyDescent="0.3">
      <c r="A32" s="28"/>
      <c r="B32" s="77" t="s">
        <v>261</v>
      </c>
      <c r="C32" s="23"/>
      <c r="D32" s="21"/>
      <c r="E32" s="23"/>
      <c r="F32" s="23"/>
      <c r="G32" s="15">
        <v>4.5</v>
      </c>
      <c r="H32" s="15"/>
      <c r="I32" s="15"/>
      <c r="J32" s="15"/>
      <c r="K32" s="15">
        <v>4.5</v>
      </c>
      <c r="L32" s="15"/>
      <c r="M32" s="15"/>
      <c r="N32" s="15"/>
      <c r="O32" s="69"/>
      <c r="P32" s="15"/>
      <c r="Q32" s="15">
        <v>4.5</v>
      </c>
      <c r="R32" s="15"/>
      <c r="S32" s="15"/>
      <c r="T32" s="15"/>
      <c r="U32" s="15"/>
    </row>
    <row r="33" spans="1:21" x14ac:dyDescent="0.3">
      <c r="B33" s="77" t="s">
        <v>261</v>
      </c>
      <c r="C33" s="23"/>
      <c r="D33" s="21"/>
      <c r="E33" s="23"/>
      <c r="F33" s="23"/>
      <c r="G33" s="15">
        <v>6</v>
      </c>
      <c r="H33" s="15"/>
      <c r="I33" s="15"/>
      <c r="J33" s="15"/>
      <c r="K33" s="15">
        <v>6</v>
      </c>
      <c r="L33" s="15"/>
      <c r="M33" s="15"/>
      <c r="N33" s="15"/>
      <c r="O33" s="69"/>
      <c r="P33" s="15"/>
      <c r="Q33" s="15">
        <v>6</v>
      </c>
      <c r="R33" s="15"/>
      <c r="S33" s="15"/>
      <c r="T33" s="15"/>
      <c r="U33" s="15"/>
    </row>
    <row r="34" spans="1:21" x14ac:dyDescent="0.3">
      <c r="B34" s="77" t="s">
        <v>261</v>
      </c>
      <c r="C34" s="23"/>
      <c r="D34" s="21"/>
      <c r="E34" s="23"/>
      <c r="F34" s="23"/>
      <c r="G34" s="15">
        <v>7.5</v>
      </c>
      <c r="H34" s="15"/>
      <c r="I34" s="15"/>
      <c r="J34" s="15"/>
      <c r="K34" s="15">
        <v>7.5</v>
      </c>
      <c r="L34" s="15"/>
      <c r="M34" s="15"/>
      <c r="N34" s="15"/>
      <c r="O34" s="69">
        <v>7.5</v>
      </c>
      <c r="P34" s="15"/>
      <c r="Q34" s="15">
        <v>7.5</v>
      </c>
      <c r="R34" s="15"/>
      <c r="S34" s="15"/>
      <c r="T34" s="15"/>
      <c r="U34" s="15"/>
    </row>
    <row r="35" spans="1:21" x14ac:dyDescent="0.3">
      <c r="B35" s="23" t="s">
        <v>115</v>
      </c>
      <c r="C35" s="23"/>
      <c r="D35" s="21"/>
      <c r="E35" s="23"/>
      <c r="F35" s="23"/>
      <c r="G35" s="15">
        <v>7.5</v>
      </c>
      <c r="H35" s="15"/>
      <c r="I35" s="15"/>
      <c r="J35" s="15"/>
      <c r="K35" s="15">
        <v>7.5</v>
      </c>
      <c r="L35" s="15"/>
      <c r="M35" s="15"/>
      <c r="N35" s="15"/>
      <c r="O35" s="69"/>
      <c r="P35" s="15"/>
      <c r="Q35" s="15"/>
      <c r="R35" s="15"/>
      <c r="S35" s="15"/>
      <c r="T35" s="15"/>
      <c r="U35" s="15"/>
    </row>
    <row r="36" spans="1:21" x14ac:dyDescent="0.3">
      <c r="B36" s="23" t="s">
        <v>116</v>
      </c>
      <c r="C36" s="23"/>
      <c r="D36" s="21"/>
      <c r="E36" s="23"/>
      <c r="F36" s="23"/>
      <c r="G36" s="15">
        <v>7.5</v>
      </c>
      <c r="H36" s="15"/>
      <c r="I36" s="15"/>
      <c r="J36" s="15"/>
      <c r="K36" s="15">
        <v>7.5</v>
      </c>
      <c r="L36" s="15"/>
      <c r="M36" s="15"/>
      <c r="N36" s="15"/>
      <c r="O36" s="69"/>
      <c r="P36" s="15"/>
      <c r="Q36" s="15"/>
      <c r="R36" s="15"/>
      <c r="S36" s="15"/>
      <c r="T36" s="15"/>
      <c r="U36" s="15"/>
    </row>
    <row r="37" spans="1:21" x14ac:dyDescent="0.3">
      <c r="B37" t="s">
        <v>215</v>
      </c>
      <c r="C37" s="23"/>
      <c r="D37" s="21"/>
      <c r="E37" s="23"/>
      <c r="F37" s="23"/>
      <c r="G37" s="15">
        <v>2</v>
      </c>
      <c r="H37" s="15"/>
      <c r="I37" s="15"/>
      <c r="J37" s="15"/>
      <c r="K37" s="15">
        <v>2</v>
      </c>
      <c r="L37" s="15"/>
      <c r="M37" s="15"/>
      <c r="N37" s="15"/>
      <c r="O37" s="69"/>
      <c r="P37" s="15"/>
      <c r="Q37" s="15"/>
      <c r="R37" s="15"/>
      <c r="S37" s="15"/>
      <c r="T37" s="15"/>
      <c r="U37" s="15"/>
    </row>
    <row r="38" spans="1:21" x14ac:dyDescent="0.3">
      <c r="B38" s="23" t="s">
        <v>117</v>
      </c>
      <c r="C38" s="23"/>
      <c r="D38" s="21"/>
      <c r="E38" s="23"/>
      <c r="F38" s="23"/>
      <c r="G38" s="15">
        <v>7.5</v>
      </c>
      <c r="H38" s="15"/>
      <c r="I38" s="15"/>
      <c r="J38" s="15"/>
      <c r="K38" s="15">
        <v>7.5</v>
      </c>
      <c r="L38" s="15"/>
      <c r="M38" s="15"/>
      <c r="N38" s="15"/>
      <c r="O38" s="69"/>
      <c r="P38" s="15"/>
      <c r="Q38" s="15"/>
      <c r="R38" s="15"/>
      <c r="S38" s="15"/>
      <c r="T38" s="15"/>
      <c r="U38" s="15"/>
    </row>
    <row r="39" spans="1:21" x14ac:dyDescent="0.3">
      <c r="B39" s="23" t="s">
        <v>118</v>
      </c>
      <c r="C39" s="23"/>
      <c r="D39" s="21"/>
      <c r="E39" s="23"/>
      <c r="F39" s="23"/>
      <c r="G39" s="15">
        <v>6</v>
      </c>
      <c r="H39" s="15"/>
      <c r="I39" s="15"/>
      <c r="J39" s="15"/>
      <c r="K39" s="15">
        <v>6</v>
      </c>
      <c r="L39" s="15"/>
      <c r="M39" s="15"/>
      <c r="N39" s="15"/>
      <c r="O39" s="69"/>
      <c r="P39" s="15"/>
      <c r="Q39" s="15"/>
      <c r="R39" s="15"/>
      <c r="S39" s="15"/>
      <c r="T39" s="15"/>
      <c r="U39" s="15"/>
    </row>
    <row r="40" spans="1:21" x14ac:dyDescent="0.3">
      <c r="B40" s="23" t="s">
        <v>119</v>
      </c>
      <c r="C40" s="23"/>
      <c r="D40" s="21"/>
      <c r="E40" s="23"/>
      <c r="F40" s="23"/>
      <c r="G40" s="15">
        <v>10</v>
      </c>
      <c r="H40" s="15"/>
      <c r="I40" s="15"/>
      <c r="J40" s="15"/>
      <c r="K40" s="15">
        <v>10</v>
      </c>
      <c r="L40" s="15"/>
      <c r="M40" s="15"/>
      <c r="N40" s="15"/>
      <c r="O40" s="69"/>
      <c r="P40" s="15"/>
      <c r="Q40" s="15"/>
      <c r="R40" s="15"/>
      <c r="S40" s="15"/>
      <c r="T40" s="15"/>
      <c r="U40" s="15"/>
    </row>
    <row r="41" spans="1:21" x14ac:dyDescent="0.3">
      <c r="B41" t="s">
        <v>216</v>
      </c>
      <c r="C41" s="23"/>
      <c r="D41" s="21"/>
      <c r="E41" s="23"/>
      <c r="F41" s="23"/>
      <c r="G41" s="15">
        <v>4</v>
      </c>
      <c r="H41" s="15"/>
      <c r="I41" s="15"/>
      <c r="J41" s="15"/>
      <c r="K41" s="15">
        <v>4</v>
      </c>
      <c r="L41" s="15"/>
      <c r="M41" s="15"/>
      <c r="N41" s="15"/>
      <c r="O41" s="69"/>
      <c r="P41" s="15"/>
      <c r="Q41" s="15"/>
      <c r="R41" s="15"/>
      <c r="S41" s="15"/>
      <c r="T41" s="15"/>
      <c r="U41" s="15"/>
    </row>
    <row r="42" spans="1:21" x14ac:dyDescent="0.3">
      <c r="B42" s="23" t="s">
        <v>120</v>
      </c>
      <c r="C42" s="23"/>
      <c r="D42" s="21"/>
      <c r="E42" s="23"/>
      <c r="F42" s="23"/>
      <c r="G42" s="15">
        <v>7.5</v>
      </c>
      <c r="H42" s="15"/>
      <c r="I42" s="15"/>
      <c r="J42" s="15"/>
      <c r="K42" s="15">
        <v>7.5</v>
      </c>
      <c r="L42" s="15"/>
      <c r="M42" s="15"/>
      <c r="N42" s="15"/>
      <c r="O42" s="69"/>
      <c r="P42" s="15"/>
      <c r="Q42" s="15">
        <v>5.5</v>
      </c>
      <c r="R42" s="15"/>
      <c r="S42" s="15"/>
      <c r="T42" s="15"/>
      <c r="U42" s="15"/>
    </row>
    <row r="43" spans="1:21" x14ac:dyDescent="0.3">
      <c r="B43" s="23" t="s">
        <v>121</v>
      </c>
      <c r="C43" s="23"/>
      <c r="D43" s="21"/>
      <c r="E43" s="23"/>
      <c r="F43" s="23"/>
      <c r="G43" s="15">
        <v>7.5</v>
      </c>
      <c r="H43" s="15"/>
      <c r="I43" s="15"/>
      <c r="J43" s="15"/>
      <c r="K43" s="15">
        <v>7.5</v>
      </c>
      <c r="L43" s="15"/>
      <c r="M43" s="15"/>
      <c r="N43" s="15"/>
      <c r="O43" s="69"/>
      <c r="P43" s="15"/>
      <c r="Q43" s="15"/>
      <c r="R43" s="15"/>
      <c r="S43" s="15"/>
      <c r="T43" s="15"/>
      <c r="U43" s="15"/>
    </row>
    <row r="44" spans="1:21" x14ac:dyDescent="0.3">
      <c r="B44" s="23" t="s">
        <v>122</v>
      </c>
      <c r="C44" s="23"/>
      <c r="D44" s="21"/>
      <c r="E44" s="23"/>
      <c r="F44" s="23"/>
      <c r="G44" s="15">
        <v>3</v>
      </c>
      <c r="H44" s="15"/>
      <c r="I44" s="15"/>
      <c r="J44" s="15"/>
      <c r="K44" s="15">
        <v>3</v>
      </c>
      <c r="L44" s="15"/>
      <c r="M44" s="15"/>
      <c r="N44" s="15"/>
      <c r="O44" s="69"/>
      <c r="P44" s="15"/>
      <c r="Q44" s="15">
        <v>3</v>
      </c>
      <c r="R44" s="15"/>
      <c r="S44" s="15"/>
      <c r="T44" s="15"/>
      <c r="U44" s="15"/>
    </row>
    <row r="45" spans="1:21" x14ac:dyDescent="0.3">
      <c r="B45" s="23" t="s">
        <v>123</v>
      </c>
      <c r="C45" s="23"/>
      <c r="D45" s="21"/>
      <c r="E45" s="23"/>
      <c r="F45" s="23"/>
      <c r="G45" s="15">
        <v>7.5</v>
      </c>
      <c r="H45" s="15"/>
      <c r="I45" s="15"/>
      <c r="J45" s="15"/>
      <c r="K45" s="15">
        <v>7.5</v>
      </c>
      <c r="L45" s="15"/>
      <c r="M45" s="15">
        <v>7.5</v>
      </c>
      <c r="N45" s="15"/>
      <c r="O45" s="69"/>
      <c r="P45" s="15"/>
      <c r="Q45" s="15"/>
      <c r="R45" s="15"/>
      <c r="S45" s="15"/>
      <c r="T45" s="15"/>
      <c r="U45" s="15"/>
    </row>
    <row r="46" spans="1:21" x14ac:dyDescent="0.3">
      <c r="A46" s="28"/>
      <c r="B46" s="23" t="s">
        <v>124</v>
      </c>
      <c r="C46" s="23"/>
      <c r="D46" s="21"/>
      <c r="E46" s="23"/>
      <c r="F46" s="23"/>
      <c r="G46" s="15">
        <v>7.5</v>
      </c>
      <c r="H46" s="15"/>
      <c r="I46" s="15"/>
      <c r="J46" s="15"/>
      <c r="K46" s="15">
        <v>7.5</v>
      </c>
      <c r="L46" s="15"/>
      <c r="M46" s="15"/>
      <c r="N46" s="15"/>
      <c r="O46" s="69"/>
      <c r="P46" s="15"/>
      <c r="Q46" s="15"/>
      <c r="R46" s="15"/>
      <c r="S46" s="15"/>
      <c r="T46" s="15"/>
      <c r="U46" s="15"/>
    </row>
    <row r="47" spans="1:21" x14ac:dyDescent="0.3">
      <c r="B47" s="23" t="s">
        <v>125</v>
      </c>
      <c r="C47" s="23"/>
      <c r="D47" s="21"/>
      <c r="E47" s="23"/>
      <c r="F47" s="23"/>
      <c r="G47" s="15">
        <v>7.5</v>
      </c>
      <c r="H47" s="15"/>
      <c r="I47" s="15"/>
      <c r="J47" s="15"/>
      <c r="K47" s="15">
        <v>7.5</v>
      </c>
      <c r="L47" s="15"/>
      <c r="M47" s="15"/>
      <c r="N47" s="15">
        <v>7.5</v>
      </c>
      <c r="O47" s="69">
        <v>7.5</v>
      </c>
      <c r="P47" s="15"/>
      <c r="Q47" s="15">
        <v>7.5</v>
      </c>
      <c r="R47" s="15"/>
      <c r="S47" s="15"/>
      <c r="T47" s="15">
        <v>7.5</v>
      </c>
      <c r="U47" s="15"/>
    </row>
    <row r="48" spans="1:21" x14ac:dyDescent="0.3">
      <c r="B48" s="23" t="s">
        <v>126</v>
      </c>
      <c r="C48" s="23"/>
      <c r="D48" s="21"/>
      <c r="E48" s="23"/>
      <c r="F48" s="23"/>
      <c r="G48" s="15">
        <v>7.5</v>
      </c>
      <c r="H48" s="15"/>
      <c r="I48" s="15"/>
      <c r="J48" s="15"/>
      <c r="K48" s="15">
        <v>7.5</v>
      </c>
      <c r="L48" s="15"/>
      <c r="M48" s="15"/>
      <c r="N48" s="15"/>
      <c r="O48" s="69"/>
      <c r="P48" s="15"/>
      <c r="Q48" s="15"/>
      <c r="R48" s="15"/>
      <c r="S48" s="15"/>
      <c r="T48" s="15"/>
      <c r="U48" s="15"/>
    </row>
    <row r="49" spans="1:21" x14ac:dyDescent="0.3">
      <c r="A49" s="28"/>
      <c r="B49" s="23" t="s">
        <v>127</v>
      </c>
      <c r="C49" s="23"/>
      <c r="D49" s="21"/>
      <c r="E49" s="23"/>
      <c r="F49" s="23"/>
      <c r="G49" s="15">
        <v>7.5</v>
      </c>
      <c r="H49" s="15"/>
      <c r="I49" s="15"/>
      <c r="J49" s="15"/>
      <c r="K49" s="15">
        <v>7.5</v>
      </c>
      <c r="L49" s="15"/>
      <c r="M49" s="15"/>
      <c r="N49" s="15"/>
      <c r="O49" s="69"/>
      <c r="P49" s="15"/>
      <c r="Q49" s="15"/>
      <c r="R49" s="15">
        <v>7.5</v>
      </c>
      <c r="S49" s="15"/>
      <c r="T49" s="15"/>
      <c r="U49" s="15"/>
    </row>
    <row r="50" spans="1:21" x14ac:dyDescent="0.3">
      <c r="B50" s="23" t="s">
        <v>128</v>
      </c>
      <c r="C50" s="23"/>
      <c r="D50" s="21"/>
      <c r="E50" s="23"/>
      <c r="F50" s="23"/>
      <c r="G50" s="15">
        <v>7.5</v>
      </c>
      <c r="H50" s="15"/>
      <c r="I50" s="15"/>
      <c r="J50" s="15"/>
      <c r="K50" s="15">
        <v>7.5</v>
      </c>
      <c r="L50" s="15"/>
      <c r="M50" s="15"/>
      <c r="N50" s="15"/>
      <c r="O50" s="69"/>
      <c r="P50" s="15"/>
      <c r="Q50" s="15"/>
      <c r="R50" s="15">
        <v>7.5</v>
      </c>
      <c r="S50" s="15"/>
      <c r="T50" s="15"/>
      <c r="U50" s="15"/>
    </row>
    <row r="51" spans="1:21" x14ac:dyDescent="0.3">
      <c r="B51" s="23" t="s">
        <v>129</v>
      </c>
      <c r="C51" s="23"/>
      <c r="D51" s="21"/>
      <c r="E51" s="23"/>
      <c r="F51" s="23"/>
      <c r="G51" s="15">
        <v>7.5</v>
      </c>
      <c r="H51" s="15"/>
      <c r="I51" s="15"/>
      <c r="J51" s="15"/>
      <c r="K51" s="15">
        <v>7.5</v>
      </c>
      <c r="L51" s="15"/>
      <c r="M51" s="15"/>
      <c r="N51" s="15"/>
      <c r="O51" s="69"/>
      <c r="P51" s="15"/>
      <c r="Q51" s="15"/>
      <c r="R51" s="15"/>
      <c r="S51" s="15"/>
      <c r="T51" s="15"/>
      <c r="U51" s="15"/>
    </row>
    <row r="52" spans="1:21" x14ac:dyDescent="0.3">
      <c r="B52" s="23" t="s">
        <v>130</v>
      </c>
      <c r="C52" s="23"/>
      <c r="D52" s="21"/>
      <c r="E52" s="23"/>
      <c r="F52" s="23"/>
      <c r="G52" s="15">
        <v>4.5</v>
      </c>
      <c r="H52" s="15"/>
      <c r="I52" s="15"/>
      <c r="J52" s="15"/>
      <c r="K52" s="15">
        <v>4.5</v>
      </c>
      <c r="L52" s="15"/>
      <c r="M52" s="15"/>
      <c r="N52" s="15"/>
      <c r="O52" s="69"/>
      <c r="P52" s="15"/>
      <c r="Q52" s="15"/>
      <c r="R52" s="15"/>
      <c r="S52" s="15"/>
      <c r="T52" s="15"/>
      <c r="U52" s="15"/>
    </row>
    <row r="53" spans="1:21" x14ac:dyDescent="0.3">
      <c r="B53" s="23" t="s">
        <v>131</v>
      </c>
      <c r="C53" s="23"/>
      <c r="D53" s="21"/>
      <c r="E53" s="23"/>
      <c r="F53" s="23"/>
      <c r="G53" s="15">
        <v>7.5</v>
      </c>
      <c r="H53" s="15"/>
      <c r="I53" s="15"/>
      <c r="J53" s="15"/>
      <c r="K53" s="15">
        <v>7.5</v>
      </c>
      <c r="L53" s="15"/>
      <c r="M53" s="15"/>
      <c r="N53" s="15"/>
      <c r="O53" s="69"/>
      <c r="P53" s="15"/>
      <c r="Q53" s="15"/>
      <c r="R53" s="15"/>
      <c r="S53" s="15"/>
      <c r="T53" s="15">
        <v>7.5</v>
      </c>
      <c r="U53" s="15"/>
    </row>
    <row r="54" spans="1:21" x14ac:dyDescent="0.3">
      <c r="B54" s="76" t="s">
        <v>262</v>
      </c>
      <c r="C54" s="23"/>
      <c r="D54" s="21"/>
      <c r="E54" s="23"/>
      <c r="F54" s="23"/>
      <c r="G54" s="15">
        <v>15</v>
      </c>
      <c r="H54" s="15"/>
      <c r="I54" s="15"/>
      <c r="J54" s="15"/>
      <c r="K54" s="15">
        <v>15</v>
      </c>
      <c r="L54" s="15"/>
      <c r="M54" s="15"/>
      <c r="N54" s="15">
        <v>15</v>
      </c>
      <c r="O54" s="69">
        <v>15</v>
      </c>
      <c r="P54" s="15"/>
      <c r="Q54" s="15">
        <v>15</v>
      </c>
      <c r="R54" s="15"/>
      <c r="S54" s="15"/>
      <c r="T54" s="15"/>
      <c r="U54" s="15"/>
    </row>
    <row r="55" spans="1:21" x14ac:dyDescent="0.3">
      <c r="B55" s="76" t="s">
        <v>262</v>
      </c>
      <c r="C55" s="23"/>
      <c r="D55" s="21"/>
      <c r="E55" s="23"/>
      <c r="F55" s="23"/>
      <c r="G55" s="15">
        <v>3</v>
      </c>
      <c r="H55" s="15"/>
      <c r="I55" s="15"/>
      <c r="J55" s="15"/>
      <c r="K55" s="15">
        <v>3</v>
      </c>
      <c r="L55" s="15"/>
      <c r="M55" s="15"/>
      <c r="N55" s="15">
        <v>3</v>
      </c>
      <c r="O55" s="69"/>
      <c r="P55" s="15"/>
      <c r="Q55" s="15">
        <v>3</v>
      </c>
      <c r="R55" s="15"/>
      <c r="S55" s="15"/>
      <c r="T55" s="15"/>
      <c r="U55" s="15"/>
    </row>
    <row r="56" spans="1:21" x14ac:dyDescent="0.3">
      <c r="B56" s="76" t="s">
        <v>262</v>
      </c>
      <c r="C56" s="23"/>
      <c r="D56" s="21"/>
      <c r="E56" s="23"/>
      <c r="F56" s="23"/>
      <c r="G56" s="15">
        <v>4.5</v>
      </c>
      <c r="H56" s="15"/>
      <c r="I56" s="15"/>
      <c r="J56" s="15"/>
      <c r="K56" s="15">
        <v>4.5</v>
      </c>
      <c r="L56" s="15"/>
      <c r="M56" s="15"/>
      <c r="N56" s="15">
        <v>4.5</v>
      </c>
      <c r="O56" s="69"/>
      <c r="P56" s="15"/>
      <c r="Q56" s="15">
        <v>4.5</v>
      </c>
      <c r="R56" s="15"/>
      <c r="S56" s="15"/>
      <c r="T56" s="15"/>
      <c r="U56" s="15"/>
    </row>
    <row r="57" spans="1:21" x14ac:dyDescent="0.3">
      <c r="B57" s="76" t="s">
        <v>262</v>
      </c>
      <c r="C57" s="23"/>
      <c r="D57" s="21"/>
      <c r="E57" s="23"/>
      <c r="F57" s="23"/>
      <c r="G57" s="15">
        <v>6</v>
      </c>
      <c r="H57" s="15"/>
      <c r="I57" s="15"/>
      <c r="J57" s="15"/>
      <c r="K57" s="15">
        <v>6</v>
      </c>
      <c r="L57" s="15"/>
      <c r="M57" s="15"/>
      <c r="N57" s="15">
        <v>6</v>
      </c>
      <c r="O57" s="69"/>
      <c r="P57" s="15"/>
      <c r="Q57" s="15">
        <v>6</v>
      </c>
      <c r="R57" s="15"/>
      <c r="S57" s="15"/>
      <c r="T57" s="15"/>
      <c r="U57" s="15"/>
    </row>
    <row r="58" spans="1:21" x14ac:dyDescent="0.3">
      <c r="A58" s="28"/>
      <c r="B58" s="76" t="s">
        <v>262</v>
      </c>
      <c r="C58" s="23"/>
      <c r="D58" s="21"/>
      <c r="E58" s="23"/>
      <c r="F58" s="23"/>
      <c r="G58" s="15">
        <v>7.5</v>
      </c>
      <c r="H58" s="15"/>
      <c r="I58" s="15"/>
      <c r="J58" s="15"/>
      <c r="K58" s="15">
        <v>7.5</v>
      </c>
      <c r="L58" s="15"/>
      <c r="M58" s="15"/>
      <c r="N58" s="15">
        <v>7.5</v>
      </c>
      <c r="O58" s="69">
        <v>7.5</v>
      </c>
      <c r="P58" s="15"/>
      <c r="Q58" s="15">
        <v>7.5</v>
      </c>
      <c r="R58" s="15"/>
      <c r="S58" s="15"/>
      <c r="T58" s="15"/>
      <c r="U58" s="15"/>
    </row>
  </sheetData>
  <mergeCells count="5">
    <mergeCell ref="H4:J4"/>
    <mergeCell ref="K4:L4"/>
    <mergeCell ref="M4:U4"/>
    <mergeCell ref="H3:U3"/>
    <mergeCell ref="G2:U2"/>
  </mergeCells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4"/>
  <dimension ref="A2:U202"/>
  <sheetViews>
    <sheetView zoomScaleNormal="100" workbookViewId="0">
      <pane ySplit="6" topLeftCell="A7" activePane="bottomLeft" state="frozen"/>
      <selection pane="bottomLeft"/>
    </sheetView>
  </sheetViews>
  <sheetFormatPr defaultColWidth="8.88671875" defaultRowHeight="14.4" x14ac:dyDescent="0.3"/>
  <cols>
    <col min="1" max="1" width="9.33203125" style="17" bestFit="1" customWidth="1"/>
    <col min="2" max="2" width="81.109375" style="24" customWidth="1"/>
    <col min="3" max="3" width="8.109375" style="17" bestFit="1" customWidth="1"/>
    <col min="4" max="4" width="18" style="17" customWidth="1"/>
    <col min="5" max="5" width="20.44140625" style="24" customWidth="1"/>
    <col min="6" max="6" width="29.6640625" style="24" bestFit="1" customWidth="1"/>
    <col min="7" max="7" width="5" style="24" bestFit="1" customWidth="1"/>
    <col min="8" max="8" width="6.88671875" style="24" bestFit="1" customWidth="1"/>
    <col min="9" max="9" width="8.109375" style="24" customWidth="1"/>
    <col min="10" max="10" width="4" style="24" bestFit="1" customWidth="1"/>
    <col min="11" max="11" width="5.88671875" style="24" customWidth="1"/>
    <col min="12" max="12" width="5" style="24" customWidth="1"/>
    <col min="13" max="13" width="4.33203125" style="24" customWidth="1"/>
    <col min="14" max="14" width="4.44140625" style="24" bestFit="1" customWidth="1"/>
    <col min="15" max="16" width="6.88671875" style="24" bestFit="1" customWidth="1"/>
    <col min="17" max="17" width="6.109375" style="24" bestFit="1" customWidth="1"/>
    <col min="18" max="18" width="4.44140625" style="24" bestFit="1" customWidth="1"/>
    <col min="19" max="19" width="5.109375" style="24" bestFit="1" customWidth="1"/>
    <col min="20" max="20" width="5" style="24" customWidth="1"/>
    <col min="21" max="21" width="5.6640625" style="24" customWidth="1"/>
    <col min="22" max="22" width="8.88671875" style="24" customWidth="1"/>
    <col min="23" max="16384" width="8.88671875" style="24"/>
  </cols>
  <sheetData>
    <row r="2" spans="1:21" x14ac:dyDescent="0.3">
      <c r="G2" s="122" t="str">
        <f>Sammanfattning!G20</f>
        <v>Högskolepoäng (hp)</v>
      </c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</row>
    <row r="3" spans="1:21" x14ac:dyDescent="0.3">
      <c r="G3" s="19"/>
      <c r="H3" s="125" t="str">
        <f>Sammanfattning!H21</f>
        <v>Varav (hp)…</v>
      </c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/>
    </row>
    <row r="4" spans="1:21" x14ac:dyDescent="0.3">
      <c r="H4" s="97" t="str">
        <f>Sammanfattning!H22</f>
        <v>Baskurser (hp)</v>
      </c>
      <c r="I4" s="81"/>
      <c r="J4" s="98"/>
      <c r="K4" s="97" t="str">
        <f>Sammanfattning!K22</f>
        <v>Övriga kurser</v>
      </c>
      <c r="L4" s="98"/>
      <c r="M4" s="122" t="str">
        <f>Sammanfattning!M22</f>
        <v>Övriga krav</v>
      </c>
      <c r="N4" s="123"/>
      <c r="O4" s="123"/>
      <c r="P4" s="123"/>
      <c r="Q4" s="123"/>
      <c r="R4" s="123"/>
      <c r="S4" s="123"/>
      <c r="T4" s="123"/>
      <c r="U4" s="124"/>
    </row>
    <row r="5" spans="1:21" x14ac:dyDescent="0.3">
      <c r="A5" s="60" t="str">
        <f>Sammanfattning!A23</f>
        <v>1.</v>
      </c>
      <c r="B5" s="60" t="str">
        <f>Sammanfattning!B23</f>
        <v>2.</v>
      </c>
      <c r="C5" s="60" t="str">
        <f>Sammanfattning!C23</f>
        <v>3.</v>
      </c>
      <c r="D5" s="60" t="str">
        <f>Sammanfattning!D23</f>
        <v>4.</v>
      </c>
      <c r="E5" s="60" t="str">
        <f>Sammanfattning!E23</f>
        <v>5.</v>
      </c>
      <c r="F5" s="60" t="str">
        <f>Sammanfattning!F23</f>
        <v>6.</v>
      </c>
      <c r="G5" s="1" t="str">
        <f>Sammanfattning!G23</f>
        <v>7.</v>
      </c>
      <c r="H5" s="1" t="str">
        <f>Sammanfattning!H23</f>
        <v>8.</v>
      </c>
      <c r="I5" s="1" t="str">
        <f>Sammanfattning!I23</f>
        <v>9.</v>
      </c>
      <c r="J5" s="1" t="str">
        <f>Sammanfattning!J23</f>
        <v>10.</v>
      </c>
      <c r="K5" s="1" t="str">
        <f>Sammanfattning!K23</f>
        <v>11.</v>
      </c>
      <c r="L5" s="1" t="str">
        <f>Sammanfattning!L23</f>
        <v>12.</v>
      </c>
      <c r="M5" s="10" t="str">
        <f>Sammanfattning!M23</f>
        <v>13.</v>
      </c>
      <c r="N5" s="10" t="str">
        <f>Sammanfattning!N23</f>
        <v>13.1</v>
      </c>
      <c r="O5" s="10" t="str">
        <f>Sammanfattning!O23</f>
        <v>13.2</v>
      </c>
      <c r="P5" s="10" t="str">
        <f>Sammanfattning!P23</f>
        <v>13.3</v>
      </c>
      <c r="Q5" s="10" t="str">
        <f>Sammanfattning!Q23</f>
        <v>13.4</v>
      </c>
      <c r="R5" s="10" t="str">
        <f>Sammanfattning!R23</f>
        <v>14.</v>
      </c>
      <c r="S5" s="10" t="str">
        <f>Sammanfattning!S23</f>
        <v>15.</v>
      </c>
      <c r="T5" s="10" t="str">
        <f>Sammanfattning!T23</f>
        <v>16.</v>
      </c>
      <c r="U5" s="11" t="str">
        <f>Sammanfattning!U23</f>
        <v>17.</v>
      </c>
    </row>
    <row r="6" spans="1:21" x14ac:dyDescent="0.3">
      <c r="A6" s="13" t="str">
        <f>Sammanfattning!A24</f>
        <v>Checkbox</v>
      </c>
      <c r="B6" s="13" t="str">
        <f>Sammanfattning!B24</f>
        <v>Kursnamn</v>
      </c>
      <c r="C6" s="13" t="str">
        <f>Sammanfattning!C24</f>
        <v>Kurskod</v>
      </c>
      <c r="D6" s="13" t="str">
        <f>Sammanfattning!D24</f>
        <v>Datum (ååååmmdd)</v>
      </c>
      <c r="E6" s="13" t="str">
        <f>Sammanfattning!E24</f>
        <v>Studentens kommentar</v>
      </c>
      <c r="F6" s="13" t="str">
        <f>Sammanfattning!F24</f>
        <v>Programledningens kommentar</v>
      </c>
      <c r="G6" s="13" t="str">
        <f>Sammanfattning!G24</f>
        <v>Hp</v>
      </c>
      <c r="H6" s="13" t="str">
        <f>Sammanfattning!H24</f>
        <v>MaBer</v>
      </c>
      <c r="I6" s="13" t="str">
        <f>Sammanfattning!I24</f>
        <v>StatMät</v>
      </c>
      <c r="J6" s="13" t="str">
        <f>Sammanfattning!J24</f>
        <v>FyT</v>
      </c>
      <c r="K6" s="13" t="str">
        <f>Sammanfattning!K24</f>
        <v>Aing</v>
      </c>
      <c r="L6" s="13" t="str">
        <f>Sammanfattning!L24</f>
        <v>Prof</v>
      </c>
      <c r="M6" s="13" t="str">
        <f>Sammanfattning!M24</f>
        <v>PL</v>
      </c>
      <c r="N6" s="13" t="str">
        <f>Sammanfattning!N24</f>
        <v>PaN</v>
      </c>
      <c r="O6" s="13" t="str">
        <f>Sammanfattning!O24</f>
        <v>PaSam</v>
      </c>
      <c r="P6" s="13" t="str">
        <f>Sammanfattning!P24</f>
        <v>PaStor</v>
      </c>
      <c r="Q6" s="13" t="str">
        <f>Sammanfattning!Q24</f>
        <v>PaTot</v>
      </c>
      <c r="R6" s="13" t="str">
        <f>Sammanfattning!R24</f>
        <v>Hut</v>
      </c>
      <c r="S6" s="13" t="str">
        <f>Sammanfattning!S24</f>
        <v>Data</v>
      </c>
      <c r="T6" s="13" t="str">
        <f>Sammanfattning!T24</f>
        <v>Avn</v>
      </c>
      <c r="U6" s="14" t="str">
        <f>Sammanfattning!U24</f>
        <v>Fria</v>
      </c>
    </row>
    <row r="7" spans="1:21" x14ac:dyDescent="0.3">
      <c r="A7" s="3"/>
      <c r="B7" s="7" t="s">
        <v>132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</row>
    <row r="8" spans="1:21" x14ac:dyDescent="0.3">
      <c r="B8" s="23" t="s">
        <v>133</v>
      </c>
      <c r="C8" s="23"/>
      <c r="D8" s="21"/>
      <c r="E8" s="23"/>
      <c r="F8" s="23"/>
      <c r="G8" s="15">
        <v>3</v>
      </c>
      <c r="H8" s="15"/>
      <c r="I8" s="15"/>
      <c r="J8" s="15"/>
      <c r="K8" s="15"/>
      <c r="L8" s="15">
        <v>3</v>
      </c>
      <c r="M8" s="15"/>
      <c r="N8" s="15"/>
      <c r="O8" s="15"/>
      <c r="P8" s="15"/>
      <c r="Q8" s="15"/>
      <c r="R8" s="15"/>
      <c r="S8" s="15"/>
      <c r="T8" s="15">
        <v>3</v>
      </c>
      <c r="U8" s="15"/>
    </row>
    <row r="9" spans="1:21" x14ac:dyDescent="0.3">
      <c r="B9" s="23" t="s">
        <v>134</v>
      </c>
      <c r="C9" s="23"/>
      <c r="D9" s="21"/>
      <c r="E9" s="23"/>
      <c r="F9" s="23"/>
      <c r="G9" s="15">
        <v>7.5</v>
      </c>
      <c r="H9" s="15"/>
      <c r="I9" s="15"/>
      <c r="J9" s="15"/>
      <c r="K9" s="15"/>
      <c r="L9" s="15">
        <v>7.5</v>
      </c>
      <c r="M9" s="15"/>
      <c r="N9" s="15"/>
      <c r="O9" s="15"/>
      <c r="P9" s="15"/>
      <c r="Q9" s="15"/>
      <c r="R9" s="15"/>
      <c r="S9" s="15"/>
      <c r="T9" s="15">
        <v>7.5</v>
      </c>
      <c r="U9" s="15"/>
    </row>
    <row r="10" spans="1:21" x14ac:dyDescent="0.3">
      <c r="B10" s="23" t="s">
        <v>135</v>
      </c>
      <c r="C10" s="23"/>
      <c r="D10" s="21"/>
      <c r="E10" s="23"/>
      <c r="F10" s="23"/>
      <c r="G10" s="15">
        <v>7.5</v>
      </c>
      <c r="H10" s="15"/>
      <c r="I10" s="15"/>
      <c r="J10" s="15"/>
      <c r="K10" s="15"/>
      <c r="L10" s="15">
        <v>7.5</v>
      </c>
      <c r="M10" s="15"/>
      <c r="N10" s="15"/>
      <c r="O10" s="15"/>
      <c r="P10" s="15"/>
      <c r="Q10" s="15"/>
      <c r="R10" s="15"/>
      <c r="S10" s="15"/>
      <c r="T10" s="15">
        <v>7.5</v>
      </c>
      <c r="U10" s="15"/>
    </row>
    <row r="11" spans="1:21" x14ac:dyDescent="0.3">
      <c r="B11" s="23" t="s">
        <v>136</v>
      </c>
      <c r="C11" s="23"/>
      <c r="D11" s="21"/>
      <c r="E11" s="23"/>
      <c r="F11" s="23"/>
      <c r="G11" s="15">
        <v>7.5</v>
      </c>
      <c r="H11" s="15"/>
      <c r="I11" s="15"/>
      <c r="J11" s="15"/>
      <c r="K11" s="15"/>
      <c r="L11" s="15">
        <v>7.5</v>
      </c>
      <c r="M11" s="15"/>
      <c r="N11" s="15"/>
      <c r="O11" s="15"/>
      <c r="P11" s="15"/>
      <c r="Q11" s="15"/>
      <c r="R11" s="15"/>
      <c r="S11" s="15"/>
      <c r="T11" s="15">
        <v>7.5</v>
      </c>
      <c r="U11" s="15"/>
    </row>
    <row r="12" spans="1:21" x14ac:dyDescent="0.3">
      <c r="B12" s="23" t="s">
        <v>137</v>
      </c>
      <c r="C12" s="23"/>
      <c r="D12" s="21"/>
      <c r="E12" s="23"/>
      <c r="F12" s="23"/>
      <c r="G12" s="15">
        <v>7.5</v>
      </c>
      <c r="H12" s="15"/>
      <c r="I12" s="15"/>
      <c r="J12" s="15"/>
      <c r="K12" s="15"/>
      <c r="L12" s="15">
        <v>7.5</v>
      </c>
      <c r="M12" s="15"/>
      <c r="N12" s="15"/>
      <c r="O12" s="15"/>
      <c r="P12" s="15"/>
      <c r="Q12" s="15"/>
      <c r="R12" s="15"/>
      <c r="S12" s="15"/>
      <c r="T12" s="15">
        <v>7.5</v>
      </c>
      <c r="U12" s="15"/>
    </row>
    <row r="13" spans="1:21" x14ac:dyDescent="0.3">
      <c r="B13" s="23" t="s">
        <v>138</v>
      </c>
      <c r="C13" s="23"/>
      <c r="D13" s="21"/>
      <c r="E13" s="23"/>
      <c r="F13" s="23"/>
      <c r="G13" s="15">
        <v>7.5</v>
      </c>
      <c r="H13" s="15"/>
      <c r="I13" s="15"/>
      <c r="J13" s="15"/>
      <c r="K13" s="15"/>
      <c r="L13" s="15">
        <v>7.5</v>
      </c>
      <c r="M13" s="15"/>
      <c r="N13" s="15"/>
      <c r="O13" s="15"/>
      <c r="P13" s="15"/>
      <c r="Q13" s="15"/>
      <c r="R13" s="15"/>
      <c r="S13" s="15"/>
      <c r="T13" s="15">
        <v>7.5</v>
      </c>
      <c r="U13" s="15"/>
    </row>
    <row r="14" spans="1:21" x14ac:dyDescent="0.3">
      <c r="A14" s="28"/>
      <c r="B14" s="23" t="s">
        <v>139</v>
      </c>
      <c r="C14" s="23"/>
      <c r="D14" s="21"/>
      <c r="E14" s="23"/>
      <c r="F14" s="23"/>
      <c r="G14" s="15">
        <v>7.5</v>
      </c>
      <c r="H14" s="15"/>
      <c r="I14" s="15"/>
      <c r="J14" s="15"/>
      <c r="K14" s="15"/>
      <c r="L14" s="15">
        <v>7.5</v>
      </c>
      <c r="M14" s="15"/>
      <c r="N14" s="15"/>
      <c r="O14" s="15"/>
      <c r="P14" s="15"/>
      <c r="Q14" s="15"/>
      <c r="R14" s="15"/>
      <c r="S14" s="15"/>
      <c r="T14" s="15">
        <v>7.5</v>
      </c>
      <c r="U14" s="15"/>
    </row>
    <row r="15" spans="1:21" x14ac:dyDescent="0.3">
      <c r="B15" s="23" t="s">
        <v>140</v>
      </c>
      <c r="C15" s="23"/>
      <c r="D15" s="21"/>
      <c r="E15" s="23"/>
      <c r="F15" s="23"/>
      <c r="G15" s="15">
        <v>7.5</v>
      </c>
      <c r="H15" s="15"/>
      <c r="I15" s="15"/>
      <c r="J15" s="15"/>
      <c r="K15" s="15"/>
      <c r="L15" s="15">
        <v>7.5</v>
      </c>
      <c r="M15" s="15"/>
      <c r="N15" s="15"/>
      <c r="O15" s="15"/>
      <c r="P15" s="15"/>
      <c r="Q15" s="15"/>
      <c r="R15" s="15"/>
      <c r="S15" s="15"/>
      <c r="T15" s="15">
        <v>7.5</v>
      </c>
      <c r="U15" s="15"/>
    </row>
    <row r="16" spans="1:21" x14ac:dyDescent="0.3">
      <c r="A16" s="28"/>
      <c r="B16" s="23" t="s">
        <v>141</v>
      </c>
      <c r="C16" s="23"/>
      <c r="D16" s="21"/>
      <c r="E16" s="23"/>
      <c r="F16" s="23"/>
      <c r="G16" s="15">
        <v>7.5</v>
      </c>
      <c r="H16" s="15"/>
      <c r="I16" s="15"/>
      <c r="J16" s="15"/>
      <c r="K16" s="15"/>
      <c r="L16" s="15">
        <v>7.5</v>
      </c>
      <c r="M16" s="15"/>
      <c r="N16" s="15"/>
      <c r="O16" s="15"/>
      <c r="P16" s="15"/>
      <c r="Q16" s="15"/>
      <c r="R16" s="15"/>
      <c r="S16" s="15"/>
      <c r="T16" s="15">
        <v>7.5</v>
      </c>
      <c r="U16" s="15"/>
    </row>
    <row r="17" spans="1:21" ht="15" customHeight="1" x14ac:dyDescent="0.3">
      <c r="B17" s="23" t="s">
        <v>142</v>
      </c>
      <c r="C17" s="23"/>
      <c r="D17" s="21"/>
      <c r="E17" s="23"/>
      <c r="F17" s="23"/>
      <c r="G17" s="15">
        <v>7.5</v>
      </c>
      <c r="H17" s="15"/>
      <c r="I17" s="15"/>
      <c r="J17" s="15"/>
      <c r="K17" s="15"/>
      <c r="L17" s="15">
        <v>7.5</v>
      </c>
      <c r="M17" s="15"/>
      <c r="N17" s="15"/>
      <c r="O17" s="15"/>
      <c r="P17" s="15"/>
      <c r="Q17" s="15"/>
      <c r="R17" s="15"/>
      <c r="S17" s="15"/>
      <c r="T17" s="15">
        <v>7.5</v>
      </c>
      <c r="U17" s="15"/>
    </row>
    <row r="18" spans="1:21" x14ac:dyDescent="0.3">
      <c r="B18" s="23" t="s">
        <v>143</v>
      </c>
      <c r="C18" s="23"/>
      <c r="D18" s="21"/>
      <c r="E18" s="23"/>
      <c r="F18" s="23"/>
      <c r="G18" s="15">
        <v>7.5</v>
      </c>
      <c r="H18" s="15"/>
      <c r="I18" s="15"/>
      <c r="J18" s="15"/>
      <c r="K18" s="15"/>
      <c r="L18" s="15">
        <v>7.5</v>
      </c>
      <c r="M18" s="15"/>
      <c r="N18" s="15"/>
      <c r="O18" s="15"/>
      <c r="P18" s="15"/>
      <c r="Q18" s="15"/>
      <c r="R18" s="15"/>
      <c r="S18" s="15"/>
      <c r="T18" s="15">
        <v>7.5</v>
      </c>
      <c r="U18" s="15"/>
    </row>
    <row r="19" spans="1:21" x14ac:dyDescent="0.3">
      <c r="A19" s="28"/>
      <c r="B19" s="23" t="s">
        <v>144</v>
      </c>
      <c r="C19" s="23"/>
      <c r="D19" s="21"/>
      <c r="E19" s="23"/>
      <c r="F19" s="23"/>
      <c r="G19" s="15">
        <v>7.5</v>
      </c>
      <c r="H19" s="15"/>
      <c r="I19" s="15"/>
      <c r="J19" s="15"/>
      <c r="K19" s="15"/>
      <c r="L19" s="15">
        <v>7.5</v>
      </c>
      <c r="M19" s="15"/>
      <c r="N19" s="15"/>
      <c r="O19" s="15"/>
      <c r="P19" s="15"/>
      <c r="Q19" s="15"/>
      <c r="R19" s="15"/>
      <c r="S19" s="15"/>
      <c r="T19" s="15">
        <v>7.5</v>
      </c>
      <c r="U19" s="15"/>
    </row>
    <row r="20" spans="1:21" x14ac:dyDescent="0.3">
      <c r="B20" s="23" t="s">
        <v>145</v>
      </c>
      <c r="C20" s="23"/>
      <c r="D20" s="21"/>
      <c r="E20" s="23"/>
      <c r="F20" s="23"/>
      <c r="G20" s="15">
        <v>7.5</v>
      </c>
      <c r="H20" s="15"/>
      <c r="I20" s="15"/>
      <c r="J20" s="15"/>
      <c r="K20" s="15"/>
      <c r="L20" s="15">
        <v>7.5</v>
      </c>
      <c r="M20" s="15"/>
      <c r="N20" s="15"/>
      <c r="O20" s="15"/>
      <c r="P20" s="15"/>
      <c r="Q20" s="15"/>
      <c r="R20" s="15"/>
      <c r="S20" s="15"/>
      <c r="T20" s="15">
        <v>7.5</v>
      </c>
      <c r="U20" s="15"/>
    </row>
    <row r="21" spans="1:21" x14ac:dyDescent="0.3">
      <c r="B21" s="23" t="s">
        <v>146</v>
      </c>
      <c r="C21" s="23"/>
      <c r="D21" s="21"/>
      <c r="E21" s="23"/>
      <c r="F21" s="23"/>
      <c r="G21" s="15">
        <v>7.5</v>
      </c>
      <c r="H21" s="15"/>
      <c r="I21" s="15"/>
      <c r="J21" s="15"/>
      <c r="K21" s="15"/>
      <c r="L21" s="15">
        <v>7.5</v>
      </c>
      <c r="M21" s="15"/>
      <c r="N21" s="15"/>
      <c r="O21" s="15"/>
      <c r="P21" s="15"/>
      <c r="Q21" s="15">
        <v>7.5</v>
      </c>
      <c r="R21" s="15"/>
      <c r="S21" s="15"/>
      <c r="T21" s="15">
        <v>7.5</v>
      </c>
      <c r="U21" s="15"/>
    </row>
    <row r="22" spans="1:21" x14ac:dyDescent="0.3">
      <c r="A22" s="3"/>
      <c r="B22" s="7" t="s">
        <v>147</v>
      </c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75"/>
      <c r="O22" s="75"/>
      <c r="P22" s="75"/>
      <c r="Q22" s="75"/>
      <c r="R22" s="75"/>
      <c r="S22" s="75"/>
      <c r="T22" s="75"/>
      <c r="U22" s="75"/>
    </row>
    <row r="23" spans="1:21" x14ac:dyDescent="0.3">
      <c r="A23" s="28"/>
      <c r="B23" s="23" t="s">
        <v>148</v>
      </c>
      <c r="C23" s="23"/>
      <c r="D23" s="21"/>
      <c r="E23" s="23"/>
      <c r="F23" s="23"/>
      <c r="G23" s="15">
        <v>7.5</v>
      </c>
      <c r="H23" s="15"/>
      <c r="I23" s="15"/>
      <c r="J23" s="15"/>
      <c r="K23" s="15"/>
      <c r="L23" s="15">
        <v>7.5</v>
      </c>
      <c r="M23" s="15"/>
      <c r="N23" s="15"/>
      <c r="O23" s="15"/>
      <c r="P23" s="15"/>
      <c r="Q23" s="15"/>
      <c r="R23" s="15"/>
      <c r="S23" s="15"/>
      <c r="T23" s="15">
        <v>7.5</v>
      </c>
      <c r="U23" s="15"/>
    </row>
    <row r="24" spans="1:21" x14ac:dyDescent="0.3">
      <c r="B24" s="23" t="s">
        <v>149</v>
      </c>
      <c r="C24" s="23"/>
      <c r="D24" s="21"/>
      <c r="E24" s="23"/>
      <c r="F24" s="23"/>
      <c r="G24" s="15">
        <v>7.5</v>
      </c>
      <c r="H24" s="15"/>
      <c r="I24" s="15"/>
      <c r="J24" s="15"/>
      <c r="K24" s="15"/>
      <c r="L24" s="15">
        <v>7.5</v>
      </c>
      <c r="M24" s="15"/>
      <c r="N24" s="15"/>
      <c r="O24" s="15"/>
      <c r="P24" s="15"/>
      <c r="Q24" s="15"/>
      <c r="R24" s="15"/>
      <c r="S24" s="15"/>
      <c r="T24" s="15">
        <v>7.5</v>
      </c>
      <c r="U24" s="15"/>
    </row>
    <row r="25" spans="1:21" x14ac:dyDescent="0.3">
      <c r="B25" s="23" t="s">
        <v>150</v>
      </c>
      <c r="C25" s="23"/>
      <c r="D25" s="21"/>
      <c r="E25" s="23"/>
      <c r="F25" s="23"/>
      <c r="G25" s="15">
        <v>7.5</v>
      </c>
      <c r="H25" s="15"/>
      <c r="I25" s="15"/>
      <c r="J25" s="15"/>
      <c r="K25" s="15"/>
      <c r="L25" s="15">
        <v>7.5</v>
      </c>
      <c r="M25" s="15"/>
      <c r="N25" s="15"/>
      <c r="O25" s="15"/>
      <c r="P25" s="15"/>
      <c r="Q25" s="15"/>
      <c r="R25" s="15"/>
      <c r="S25" s="15"/>
      <c r="T25" s="15">
        <v>7.5</v>
      </c>
      <c r="U25" s="15"/>
    </row>
    <row r="26" spans="1:21" x14ac:dyDescent="0.3">
      <c r="A26" s="28"/>
      <c r="B26" s="23" t="s">
        <v>151</v>
      </c>
      <c r="C26" s="23"/>
      <c r="D26" s="21"/>
      <c r="E26" s="23"/>
      <c r="F26" s="23"/>
      <c r="G26" s="15">
        <v>7.5</v>
      </c>
      <c r="H26" s="15"/>
      <c r="I26" s="15"/>
      <c r="J26" s="15"/>
      <c r="K26" s="15"/>
      <c r="L26" s="15">
        <v>7.5</v>
      </c>
      <c r="M26" s="15"/>
      <c r="N26" s="15"/>
      <c r="O26" s="15"/>
      <c r="P26" s="15"/>
      <c r="Q26" s="15"/>
      <c r="R26" s="15"/>
      <c r="S26" s="15"/>
      <c r="T26" s="15">
        <v>7.5</v>
      </c>
      <c r="U26" s="15"/>
    </row>
    <row r="27" spans="1:21" x14ac:dyDescent="0.3">
      <c r="B27" s="23" t="s">
        <v>152</v>
      </c>
      <c r="C27" s="23"/>
      <c r="D27" s="21"/>
      <c r="E27" s="23"/>
      <c r="F27" s="23"/>
      <c r="G27" s="15">
        <v>7.5</v>
      </c>
      <c r="H27" s="15"/>
      <c r="I27" s="15"/>
      <c r="J27" s="15"/>
      <c r="K27" s="15"/>
      <c r="L27" s="15">
        <v>7.5</v>
      </c>
      <c r="M27" s="15"/>
      <c r="N27" s="15"/>
      <c r="O27" s="15"/>
      <c r="P27" s="15"/>
      <c r="Q27" s="15"/>
      <c r="R27" s="15"/>
      <c r="S27" s="15"/>
      <c r="T27" s="15">
        <v>7.5</v>
      </c>
      <c r="U27" s="15"/>
    </row>
    <row r="28" spans="1:21" x14ac:dyDescent="0.3">
      <c r="A28" s="3"/>
      <c r="B28" s="7" t="s">
        <v>153</v>
      </c>
      <c r="C28" s="75"/>
      <c r="D28" s="75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5"/>
      <c r="P28" s="75"/>
      <c r="Q28" s="75"/>
      <c r="R28" s="75"/>
      <c r="S28" s="75"/>
      <c r="T28" s="75"/>
      <c r="U28" s="75"/>
    </row>
    <row r="29" spans="1:21" x14ac:dyDescent="0.3">
      <c r="B29" s="23" t="s">
        <v>154</v>
      </c>
      <c r="C29" s="23"/>
      <c r="D29" s="21"/>
      <c r="E29" s="23"/>
      <c r="F29" s="23"/>
      <c r="G29" s="15">
        <v>7.5</v>
      </c>
      <c r="H29" s="15"/>
      <c r="I29" s="15"/>
      <c r="J29" s="15"/>
      <c r="K29" s="15"/>
      <c r="L29" s="15">
        <v>7.5</v>
      </c>
      <c r="M29" s="15"/>
      <c r="N29" s="15"/>
      <c r="O29" s="15"/>
      <c r="P29" s="15"/>
      <c r="Q29" s="15"/>
      <c r="R29" s="15"/>
      <c r="S29" s="15"/>
      <c r="T29" s="15">
        <v>7.5</v>
      </c>
      <c r="U29" s="15"/>
    </row>
    <row r="30" spans="1:21" x14ac:dyDescent="0.3">
      <c r="B30" s="23" t="s">
        <v>155</v>
      </c>
      <c r="C30" s="23"/>
      <c r="D30" s="21"/>
      <c r="E30" s="23"/>
      <c r="F30" s="23"/>
      <c r="G30" s="15">
        <v>7.5</v>
      </c>
      <c r="H30" s="15"/>
      <c r="I30" s="15"/>
      <c r="J30" s="15"/>
      <c r="K30" s="15"/>
      <c r="L30" s="15">
        <v>7.5</v>
      </c>
      <c r="M30" s="15"/>
      <c r="N30" s="15"/>
      <c r="O30" s="15"/>
      <c r="P30" s="15"/>
      <c r="Q30" s="15"/>
      <c r="R30" s="15"/>
      <c r="S30" s="15"/>
      <c r="T30" s="15">
        <v>7.5</v>
      </c>
      <c r="U30" s="15"/>
    </row>
    <row r="31" spans="1:21" x14ac:dyDescent="0.3">
      <c r="B31" s="23" t="s">
        <v>156</v>
      </c>
      <c r="C31" s="23"/>
      <c r="D31" s="21"/>
      <c r="E31" s="23"/>
      <c r="F31" s="23"/>
      <c r="G31" s="15">
        <v>7.5</v>
      </c>
      <c r="H31" s="15"/>
      <c r="I31" s="15"/>
      <c r="J31" s="15"/>
      <c r="K31" s="15"/>
      <c r="L31" s="15">
        <v>7.5</v>
      </c>
      <c r="M31" s="15"/>
      <c r="N31" s="15"/>
      <c r="O31" s="15"/>
      <c r="P31" s="15"/>
      <c r="Q31" s="15"/>
      <c r="R31" s="15"/>
      <c r="S31" s="15"/>
      <c r="T31" s="15">
        <v>7.5</v>
      </c>
      <c r="U31" s="15"/>
    </row>
    <row r="32" spans="1:21" x14ac:dyDescent="0.3">
      <c r="B32" s="23" t="s">
        <v>157</v>
      </c>
      <c r="C32" s="23"/>
      <c r="D32" s="21"/>
      <c r="E32" s="23"/>
      <c r="F32" s="23"/>
      <c r="G32" s="15">
        <v>7.5</v>
      </c>
      <c r="H32" s="15"/>
      <c r="I32" s="15"/>
      <c r="J32" s="15"/>
      <c r="K32" s="15"/>
      <c r="L32" s="15">
        <v>7.5</v>
      </c>
      <c r="M32" s="15"/>
      <c r="N32" s="15"/>
      <c r="O32" s="15"/>
      <c r="P32" s="15"/>
      <c r="Q32" s="15"/>
      <c r="R32" s="15"/>
      <c r="S32" s="15"/>
      <c r="T32" s="15">
        <v>7.5</v>
      </c>
      <c r="U32" s="15"/>
    </row>
    <row r="33" spans="1:21" x14ac:dyDescent="0.3">
      <c r="B33" s="23" t="s">
        <v>158</v>
      </c>
      <c r="C33" s="23"/>
      <c r="D33" s="21"/>
      <c r="E33" s="23"/>
      <c r="F33" s="23"/>
      <c r="G33" s="15">
        <v>7.5</v>
      </c>
      <c r="H33" s="15"/>
      <c r="I33" s="15"/>
      <c r="J33" s="15"/>
      <c r="K33" s="15"/>
      <c r="L33" s="15">
        <v>7.5</v>
      </c>
      <c r="M33" s="15"/>
      <c r="N33" s="15"/>
      <c r="O33" s="15"/>
      <c r="P33" s="15"/>
      <c r="Q33" s="15"/>
      <c r="R33" s="15"/>
      <c r="S33" s="15"/>
      <c r="T33" s="15">
        <v>7.5</v>
      </c>
      <c r="U33" s="15"/>
    </row>
    <row r="34" spans="1:21" x14ac:dyDescent="0.3">
      <c r="B34" s="23" t="s">
        <v>159</v>
      </c>
      <c r="C34" s="23"/>
      <c r="D34" s="21"/>
      <c r="E34" s="23"/>
      <c r="F34" s="23"/>
      <c r="G34" s="15">
        <v>7.5</v>
      </c>
      <c r="H34" s="15"/>
      <c r="I34" s="15"/>
      <c r="J34" s="15"/>
      <c r="K34" s="15"/>
      <c r="L34" s="15">
        <v>7.5</v>
      </c>
      <c r="M34" s="15"/>
      <c r="N34" s="15"/>
      <c r="O34" s="15"/>
      <c r="P34" s="15"/>
      <c r="Q34" s="15"/>
      <c r="R34" s="15"/>
      <c r="S34" s="15"/>
      <c r="T34" s="15">
        <v>7.5</v>
      </c>
      <c r="U34" s="15"/>
    </row>
    <row r="35" spans="1:21" x14ac:dyDescent="0.3">
      <c r="A35" s="3"/>
      <c r="B35" s="7" t="s">
        <v>160</v>
      </c>
      <c r="C35" s="75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75"/>
    </row>
    <row r="36" spans="1:21" x14ac:dyDescent="0.3">
      <c r="B36" s="23" t="s">
        <v>161</v>
      </c>
      <c r="C36" s="23"/>
      <c r="D36" s="21"/>
      <c r="E36" s="23"/>
      <c r="F36" s="23"/>
      <c r="G36" s="15">
        <v>7.5</v>
      </c>
      <c r="H36" s="15"/>
      <c r="I36" s="15"/>
      <c r="J36" s="15"/>
      <c r="K36" s="15"/>
      <c r="L36" s="15">
        <v>7.5</v>
      </c>
      <c r="M36" s="15"/>
      <c r="N36" s="15"/>
      <c r="O36" s="15"/>
      <c r="P36" s="15"/>
      <c r="Q36" s="15"/>
      <c r="R36" s="15"/>
      <c r="S36" s="15"/>
      <c r="T36" s="15">
        <v>7.5</v>
      </c>
      <c r="U36" s="15"/>
    </row>
    <row r="37" spans="1:21" x14ac:dyDescent="0.3">
      <c r="B37" s="23" t="s">
        <v>162</v>
      </c>
      <c r="C37" s="23"/>
      <c r="D37" s="21"/>
      <c r="E37" s="23"/>
      <c r="F37" s="23"/>
      <c r="G37" s="15">
        <v>7.5</v>
      </c>
      <c r="H37" s="15"/>
      <c r="I37" s="15"/>
      <c r="J37" s="15"/>
      <c r="K37" s="15"/>
      <c r="L37" s="15">
        <v>7.5</v>
      </c>
      <c r="M37" s="15"/>
      <c r="N37" s="15"/>
      <c r="O37" s="15"/>
      <c r="P37" s="15"/>
      <c r="Q37" s="15"/>
      <c r="R37" s="15"/>
      <c r="S37" s="15"/>
      <c r="T37" s="15">
        <v>7.5</v>
      </c>
      <c r="U37" s="15"/>
    </row>
    <row r="38" spans="1:21" x14ac:dyDescent="0.3">
      <c r="B38" s="23" t="s">
        <v>163</v>
      </c>
      <c r="C38" s="23"/>
      <c r="D38" s="21"/>
      <c r="E38" s="23"/>
      <c r="F38" s="23"/>
      <c r="G38" s="15">
        <v>7.5</v>
      </c>
      <c r="H38" s="15"/>
      <c r="I38" s="15"/>
      <c r="J38" s="15"/>
      <c r="K38" s="15"/>
      <c r="L38" s="15">
        <v>7.5</v>
      </c>
      <c r="M38" s="15"/>
      <c r="N38" s="15"/>
      <c r="O38" s="15"/>
      <c r="P38" s="15"/>
      <c r="Q38" s="15"/>
      <c r="R38" s="15"/>
      <c r="S38" s="15"/>
      <c r="T38" s="15">
        <v>7.5</v>
      </c>
      <c r="U38" s="15"/>
    </row>
    <row r="39" spans="1:21" x14ac:dyDescent="0.3">
      <c r="B39" s="23" t="s">
        <v>164</v>
      </c>
      <c r="C39" s="23"/>
      <c r="D39" s="21"/>
      <c r="E39" s="23"/>
      <c r="F39" s="23"/>
      <c r="G39" s="15">
        <v>7.5</v>
      </c>
      <c r="H39" s="15"/>
      <c r="I39" s="15"/>
      <c r="J39" s="15"/>
      <c r="K39" s="15"/>
      <c r="L39" s="15">
        <v>7.5</v>
      </c>
      <c r="M39" s="15"/>
      <c r="N39" s="15"/>
      <c r="O39" s="15"/>
      <c r="P39" s="15"/>
      <c r="Q39" s="15"/>
      <c r="R39" s="15"/>
      <c r="S39" s="15"/>
      <c r="T39" s="15">
        <v>7.5</v>
      </c>
      <c r="U39" s="15"/>
    </row>
    <row r="40" spans="1:21" x14ac:dyDescent="0.3">
      <c r="A40" s="3"/>
      <c r="B40" s="7" t="s">
        <v>165</v>
      </c>
      <c r="C40" s="75"/>
      <c r="D40" s="75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5"/>
      <c r="T40" s="75"/>
      <c r="U40" s="75"/>
    </row>
    <row r="41" spans="1:21" x14ac:dyDescent="0.3">
      <c r="B41" s="23" t="s">
        <v>166</v>
      </c>
      <c r="C41" s="23"/>
      <c r="D41" s="21"/>
      <c r="E41" s="23"/>
      <c r="F41" s="23"/>
      <c r="G41" s="15">
        <v>7.5</v>
      </c>
      <c r="H41" s="15"/>
      <c r="I41" s="15"/>
      <c r="J41" s="15"/>
      <c r="K41" s="15"/>
      <c r="L41" s="15">
        <v>7.5</v>
      </c>
      <c r="M41" s="15"/>
      <c r="N41" s="15"/>
      <c r="O41" s="15"/>
      <c r="P41" s="15"/>
      <c r="Q41" s="15"/>
      <c r="R41" s="15"/>
      <c r="S41" s="15"/>
      <c r="T41" s="15">
        <v>7.5</v>
      </c>
      <c r="U41" s="15"/>
    </row>
    <row r="42" spans="1:21" x14ac:dyDescent="0.3">
      <c r="B42" s="23" t="s">
        <v>167</v>
      </c>
      <c r="C42" s="23"/>
      <c r="D42" s="21"/>
      <c r="E42" s="23"/>
      <c r="F42" s="23"/>
      <c r="G42" s="15">
        <v>5</v>
      </c>
      <c r="H42" s="15"/>
      <c r="I42" s="15"/>
      <c r="J42" s="15"/>
      <c r="K42" s="15"/>
      <c r="L42" s="15">
        <v>5</v>
      </c>
      <c r="M42" s="15"/>
      <c r="N42" s="15"/>
      <c r="O42" s="15"/>
      <c r="P42" s="15"/>
      <c r="Q42" s="15"/>
      <c r="R42" s="15"/>
      <c r="S42" s="15"/>
      <c r="T42" s="15">
        <v>5</v>
      </c>
      <c r="U42" s="15"/>
    </row>
    <row r="43" spans="1:21" x14ac:dyDescent="0.3">
      <c r="B43" s="23" t="s">
        <v>168</v>
      </c>
      <c r="C43" s="23"/>
      <c r="D43" s="21"/>
      <c r="E43" s="23"/>
      <c r="F43" s="23"/>
      <c r="G43" s="15">
        <v>7.5</v>
      </c>
      <c r="H43" s="15"/>
      <c r="I43" s="15"/>
      <c r="J43" s="15"/>
      <c r="K43" s="15"/>
      <c r="L43" s="15">
        <v>7.5</v>
      </c>
      <c r="M43" s="15"/>
      <c r="N43" s="15"/>
      <c r="O43" s="15"/>
      <c r="P43" s="15"/>
      <c r="Q43" s="15"/>
      <c r="R43" s="15"/>
      <c r="S43" s="15"/>
      <c r="T43" s="15">
        <v>7.5</v>
      </c>
      <c r="U43" s="15"/>
    </row>
    <row r="44" spans="1:21" x14ac:dyDescent="0.3">
      <c r="B44" s="23" t="s">
        <v>169</v>
      </c>
      <c r="C44" s="23"/>
      <c r="D44" s="21"/>
      <c r="E44" s="23"/>
      <c r="F44" s="23"/>
      <c r="G44" s="15">
        <v>7.5</v>
      </c>
      <c r="H44" s="15"/>
      <c r="I44" s="15"/>
      <c r="J44" s="15"/>
      <c r="K44" s="15"/>
      <c r="L44" s="15">
        <v>7.5</v>
      </c>
      <c r="M44" s="15"/>
      <c r="N44" s="15"/>
      <c r="O44" s="15"/>
      <c r="P44" s="15"/>
      <c r="Q44" s="15"/>
      <c r="R44" s="15"/>
      <c r="S44" s="15"/>
      <c r="T44" s="15">
        <v>7.5</v>
      </c>
      <c r="U44" s="15"/>
    </row>
    <row r="45" spans="1:21" x14ac:dyDescent="0.3">
      <c r="B45" s="23" t="s">
        <v>170</v>
      </c>
      <c r="C45" s="23"/>
      <c r="D45" s="21"/>
      <c r="E45" s="23"/>
      <c r="F45" s="23"/>
      <c r="G45" s="15">
        <v>15</v>
      </c>
      <c r="H45" s="15"/>
      <c r="I45" s="15"/>
      <c r="J45" s="15"/>
      <c r="K45" s="15"/>
      <c r="L45" s="15">
        <v>15</v>
      </c>
      <c r="M45" s="15"/>
      <c r="N45" s="15"/>
      <c r="O45" s="15"/>
      <c r="P45" s="15"/>
      <c r="Q45" s="15">
        <v>5</v>
      </c>
      <c r="R45" s="15"/>
      <c r="S45" s="15"/>
      <c r="T45" s="15">
        <v>15</v>
      </c>
      <c r="U45" s="15"/>
    </row>
    <row r="46" spans="1:21" x14ac:dyDescent="0.3">
      <c r="B46" s="23" t="s">
        <v>171</v>
      </c>
      <c r="C46" s="23"/>
      <c r="D46" s="21"/>
      <c r="E46" s="23"/>
      <c r="F46" s="23"/>
      <c r="G46" s="15">
        <v>7.5</v>
      </c>
      <c r="H46" s="15"/>
      <c r="I46" s="15"/>
      <c r="J46" s="15"/>
      <c r="K46" s="15"/>
      <c r="L46" s="15">
        <v>7.5</v>
      </c>
      <c r="M46" s="15"/>
      <c r="N46" s="15"/>
      <c r="O46" s="15"/>
      <c r="P46" s="15"/>
      <c r="Q46" s="15"/>
      <c r="R46" s="15"/>
      <c r="S46" s="15"/>
      <c r="T46" s="15">
        <v>7.5</v>
      </c>
      <c r="U46" s="15"/>
    </row>
    <row r="47" spans="1:21" x14ac:dyDescent="0.3">
      <c r="B47" s="23" t="s">
        <v>172</v>
      </c>
      <c r="C47" s="23"/>
      <c r="D47" s="21"/>
      <c r="E47" s="23"/>
      <c r="F47" s="23"/>
      <c r="G47" s="15">
        <v>5</v>
      </c>
      <c r="H47" s="15"/>
      <c r="I47" s="15"/>
      <c r="J47" s="15"/>
      <c r="K47" s="15"/>
      <c r="L47" s="15">
        <v>5</v>
      </c>
      <c r="M47" s="15"/>
      <c r="N47" s="15"/>
      <c r="O47" s="15"/>
      <c r="P47" s="15"/>
      <c r="Q47" s="15"/>
      <c r="R47" s="15"/>
      <c r="S47" s="15"/>
      <c r="T47" s="15">
        <v>5</v>
      </c>
      <c r="U47" s="15"/>
    </row>
    <row r="48" spans="1:21" x14ac:dyDescent="0.3">
      <c r="A48" s="3"/>
      <c r="B48" s="7" t="s">
        <v>119</v>
      </c>
      <c r="C48" s="75"/>
      <c r="D48" s="75"/>
      <c r="E48" s="75"/>
      <c r="F48" s="75"/>
      <c r="G48" s="75"/>
      <c r="H48" s="75"/>
      <c r="I48" s="75"/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75"/>
    </row>
    <row r="49" spans="1:21" x14ac:dyDescent="0.3">
      <c r="B49" s="23" t="s">
        <v>173</v>
      </c>
      <c r="C49" s="23"/>
      <c r="D49" s="21"/>
      <c r="E49" s="23"/>
      <c r="F49" s="23"/>
      <c r="G49" s="15">
        <v>7.5</v>
      </c>
      <c r="H49" s="15"/>
      <c r="I49" s="15"/>
      <c r="J49" s="15"/>
      <c r="K49" s="15"/>
      <c r="L49" s="15">
        <v>7.5</v>
      </c>
      <c r="M49" s="15"/>
      <c r="N49" s="15"/>
      <c r="O49" s="15"/>
      <c r="P49" s="15"/>
      <c r="Q49" s="15"/>
      <c r="R49" s="15"/>
      <c r="S49" s="15"/>
      <c r="T49" s="15">
        <v>7.5</v>
      </c>
      <c r="U49" s="15"/>
    </row>
    <row r="50" spans="1:21" x14ac:dyDescent="0.3">
      <c r="B50" s="23" t="s">
        <v>174</v>
      </c>
      <c r="C50" s="23"/>
      <c r="D50" s="21"/>
      <c r="E50" s="23"/>
      <c r="F50" s="23"/>
      <c r="G50" s="15">
        <v>7.5</v>
      </c>
      <c r="H50" s="15"/>
      <c r="I50" s="15"/>
      <c r="J50" s="15"/>
      <c r="K50" s="15"/>
      <c r="L50" s="15">
        <v>7.5</v>
      </c>
      <c r="M50" s="15"/>
      <c r="N50" s="15"/>
      <c r="O50" s="15"/>
      <c r="P50" s="15"/>
      <c r="Q50" s="15"/>
      <c r="R50" s="15"/>
      <c r="S50" s="15"/>
      <c r="T50" s="15">
        <v>7.5</v>
      </c>
      <c r="U50" s="15"/>
    </row>
    <row r="51" spans="1:21" x14ac:dyDescent="0.3">
      <c r="B51" s="23" t="s">
        <v>175</v>
      </c>
      <c r="C51" s="23"/>
      <c r="D51" s="21"/>
      <c r="E51" s="23"/>
      <c r="F51" s="23"/>
      <c r="G51" s="15">
        <v>7.5</v>
      </c>
      <c r="H51" s="15"/>
      <c r="I51" s="15"/>
      <c r="J51" s="15"/>
      <c r="K51" s="15"/>
      <c r="L51" s="15">
        <v>7.5</v>
      </c>
      <c r="M51" s="15"/>
      <c r="N51" s="15">
        <v>7.5</v>
      </c>
      <c r="O51" s="69">
        <v>7.5</v>
      </c>
      <c r="P51" s="15"/>
      <c r="Q51" s="15">
        <v>7.5</v>
      </c>
      <c r="R51" s="15"/>
      <c r="S51" s="15"/>
      <c r="T51" s="15">
        <v>7.5</v>
      </c>
      <c r="U51" s="15"/>
    </row>
    <row r="52" spans="1:21" x14ac:dyDescent="0.3">
      <c r="A52" s="3"/>
      <c r="B52" s="7" t="s">
        <v>176</v>
      </c>
      <c r="C52" s="75"/>
      <c r="D52" s="75"/>
      <c r="E52" s="75"/>
      <c r="F52" s="75"/>
      <c r="G52" s="75"/>
      <c r="H52" s="75"/>
      <c r="I52" s="75"/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75"/>
    </row>
    <row r="53" spans="1:21" x14ac:dyDescent="0.3">
      <c r="B53" s="23" t="s">
        <v>177</v>
      </c>
      <c r="C53" s="23"/>
      <c r="D53" s="21"/>
      <c r="E53" s="23"/>
      <c r="F53" s="23"/>
      <c r="G53" s="15">
        <v>7.5</v>
      </c>
      <c r="H53" s="15"/>
      <c r="I53" s="15"/>
      <c r="J53" s="15"/>
      <c r="K53" s="15"/>
      <c r="L53" s="15">
        <v>7.5</v>
      </c>
      <c r="M53" s="15"/>
      <c r="N53" s="15"/>
      <c r="O53" s="15"/>
      <c r="P53" s="15"/>
      <c r="Q53" s="15"/>
      <c r="R53" s="15"/>
      <c r="S53" s="15"/>
      <c r="T53" s="15">
        <v>7.5</v>
      </c>
      <c r="U53" s="15"/>
    </row>
    <row r="54" spans="1:21" x14ac:dyDescent="0.3">
      <c r="B54" s="23" t="s">
        <v>178</v>
      </c>
      <c r="C54" s="23"/>
      <c r="D54" s="21"/>
      <c r="E54" s="23"/>
      <c r="F54" s="23"/>
      <c r="G54" s="15">
        <v>7.5</v>
      </c>
      <c r="H54" s="15"/>
      <c r="I54" s="15"/>
      <c r="J54" s="15"/>
      <c r="K54" s="15"/>
      <c r="L54" s="15">
        <v>7.5</v>
      </c>
      <c r="M54" s="15"/>
      <c r="N54" s="15"/>
      <c r="O54" s="15"/>
      <c r="P54" s="15"/>
      <c r="Q54" s="15"/>
      <c r="R54" s="15"/>
      <c r="S54" s="15"/>
      <c r="T54" s="15">
        <v>7.5</v>
      </c>
      <c r="U54" s="15"/>
    </row>
    <row r="55" spans="1:21" x14ac:dyDescent="0.3">
      <c r="B55" s="23" t="s">
        <v>179</v>
      </c>
      <c r="C55" s="23"/>
      <c r="D55" s="21"/>
      <c r="E55" s="23"/>
      <c r="F55" s="23"/>
      <c r="G55" s="15">
        <v>7.5</v>
      </c>
      <c r="H55" s="15"/>
      <c r="I55" s="15"/>
      <c r="J55" s="15"/>
      <c r="K55" s="15"/>
      <c r="L55" s="15">
        <v>7.5</v>
      </c>
      <c r="M55" s="15"/>
      <c r="N55" s="15"/>
      <c r="O55" s="15"/>
      <c r="P55" s="15"/>
      <c r="Q55" s="15"/>
      <c r="R55" s="15"/>
      <c r="S55" s="15"/>
      <c r="T55" s="15">
        <v>7.5</v>
      </c>
      <c r="U55" s="15"/>
    </row>
    <row r="56" spans="1:21" x14ac:dyDescent="0.3">
      <c r="A56" s="3"/>
      <c r="B56" s="7" t="s">
        <v>180</v>
      </c>
      <c r="C56" s="75"/>
      <c r="D56" s="75"/>
      <c r="E56" s="75"/>
      <c r="F56" s="75"/>
      <c r="G56" s="75"/>
      <c r="H56" s="75"/>
      <c r="I56" s="75"/>
      <c r="J56" s="75"/>
      <c r="K56" s="75"/>
      <c r="L56" s="75"/>
      <c r="M56" s="75"/>
      <c r="N56" s="75"/>
      <c r="O56" s="75"/>
      <c r="P56" s="75"/>
      <c r="Q56" s="75"/>
      <c r="R56" s="75"/>
      <c r="S56" s="75"/>
      <c r="T56" s="75"/>
      <c r="U56" s="75"/>
    </row>
    <row r="57" spans="1:21" x14ac:dyDescent="0.3">
      <c r="B57" s="23" t="s">
        <v>181</v>
      </c>
      <c r="C57" s="23"/>
      <c r="D57" s="21"/>
      <c r="E57" s="23"/>
      <c r="F57" s="23"/>
      <c r="G57" s="15">
        <v>7.5</v>
      </c>
      <c r="H57" s="15"/>
      <c r="I57" s="15"/>
      <c r="J57" s="15"/>
      <c r="K57" s="15"/>
      <c r="L57" s="15">
        <v>7.5</v>
      </c>
      <c r="M57" s="15"/>
      <c r="N57" s="15"/>
      <c r="O57" s="15"/>
      <c r="P57" s="15"/>
      <c r="Q57" s="15"/>
      <c r="R57" s="15"/>
      <c r="S57" s="15"/>
      <c r="T57" s="15">
        <v>7.5</v>
      </c>
      <c r="U57" s="15"/>
    </row>
    <row r="58" spans="1:21" x14ac:dyDescent="0.3">
      <c r="B58" s="23" t="s">
        <v>182</v>
      </c>
      <c r="C58" s="23"/>
      <c r="D58" s="21"/>
      <c r="E58" s="23"/>
      <c r="F58" s="23"/>
      <c r="G58" s="15">
        <v>7.5</v>
      </c>
      <c r="H58" s="15"/>
      <c r="I58" s="15"/>
      <c r="J58" s="15"/>
      <c r="K58" s="15"/>
      <c r="L58" s="15">
        <v>7.5</v>
      </c>
      <c r="M58" s="15"/>
      <c r="N58" s="15"/>
      <c r="O58" s="15"/>
      <c r="P58" s="15"/>
      <c r="Q58" s="15"/>
      <c r="R58" s="15"/>
      <c r="S58" s="15"/>
      <c r="T58" s="15">
        <v>7.5</v>
      </c>
      <c r="U58" s="15"/>
    </row>
    <row r="59" spans="1:21" x14ac:dyDescent="0.3">
      <c r="B59" s="23" t="s">
        <v>183</v>
      </c>
      <c r="C59" s="23"/>
      <c r="D59" s="21"/>
      <c r="E59" s="23"/>
      <c r="F59" s="23"/>
      <c r="G59" s="15">
        <v>7.5</v>
      </c>
      <c r="H59" s="15"/>
      <c r="I59" s="15"/>
      <c r="J59" s="15"/>
      <c r="K59" s="15"/>
      <c r="L59" s="15">
        <v>7.5</v>
      </c>
      <c r="M59" s="15"/>
      <c r="N59" s="15"/>
      <c r="O59" s="15"/>
      <c r="P59" s="15"/>
      <c r="Q59" s="15"/>
      <c r="R59" s="15"/>
      <c r="S59" s="15"/>
      <c r="T59" s="15">
        <v>7.5</v>
      </c>
      <c r="U59" s="15"/>
    </row>
    <row r="60" spans="1:21" x14ac:dyDescent="0.3">
      <c r="B60" s="23" t="s">
        <v>184</v>
      </c>
      <c r="C60" s="23"/>
      <c r="D60" s="21"/>
      <c r="E60" s="23"/>
      <c r="F60" s="23"/>
      <c r="G60" s="15">
        <v>7.5</v>
      </c>
      <c r="H60" s="15"/>
      <c r="I60" s="15"/>
      <c r="J60" s="15"/>
      <c r="K60" s="15"/>
      <c r="L60" s="15">
        <v>7.5</v>
      </c>
      <c r="M60" s="15"/>
      <c r="N60" s="15"/>
      <c r="O60" s="15"/>
      <c r="P60" s="15"/>
      <c r="Q60" s="15"/>
      <c r="R60" s="15"/>
      <c r="S60" s="15"/>
      <c r="T60" s="15">
        <v>7.5</v>
      </c>
      <c r="U60" s="15"/>
    </row>
    <row r="61" spans="1:21" x14ac:dyDescent="0.3">
      <c r="B61" s="23" t="s">
        <v>185</v>
      </c>
      <c r="C61" s="23"/>
      <c r="D61" s="21"/>
      <c r="E61" s="23"/>
      <c r="F61" s="23"/>
      <c r="G61" s="15">
        <v>7.5</v>
      </c>
      <c r="H61" s="15"/>
      <c r="I61" s="15"/>
      <c r="J61" s="15"/>
      <c r="K61" s="15"/>
      <c r="L61" s="15">
        <v>7.5</v>
      </c>
      <c r="M61" s="15"/>
      <c r="N61" s="15"/>
      <c r="O61" s="15"/>
      <c r="P61" s="15"/>
      <c r="Q61" s="15"/>
      <c r="R61" s="15"/>
      <c r="S61" s="15"/>
      <c r="T61" s="15">
        <v>7.5</v>
      </c>
      <c r="U61" s="15"/>
    </row>
    <row r="62" spans="1:21" x14ac:dyDescent="0.3">
      <c r="B62" s="23" t="s">
        <v>186</v>
      </c>
      <c r="C62" s="23"/>
      <c r="D62" s="21"/>
      <c r="E62" s="23"/>
      <c r="F62" s="23"/>
      <c r="G62" s="15">
        <v>7.5</v>
      </c>
      <c r="H62" s="15"/>
      <c r="I62" s="15"/>
      <c r="J62" s="15"/>
      <c r="K62" s="15"/>
      <c r="L62" s="15">
        <v>7.5</v>
      </c>
      <c r="M62" s="15"/>
      <c r="N62" s="15"/>
      <c r="O62" s="15"/>
      <c r="P62" s="15"/>
      <c r="Q62" s="15"/>
      <c r="R62" s="15"/>
      <c r="S62" s="15"/>
      <c r="T62" s="15">
        <v>7.5</v>
      </c>
      <c r="U62" s="15"/>
    </row>
    <row r="63" spans="1:21" x14ac:dyDescent="0.3">
      <c r="B63" s="23" t="s">
        <v>187</v>
      </c>
      <c r="C63" s="23"/>
      <c r="D63" s="21"/>
      <c r="E63" s="23"/>
      <c r="F63" s="23"/>
      <c r="G63" s="15">
        <v>7.5</v>
      </c>
      <c r="H63" s="15"/>
      <c r="I63" s="15"/>
      <c r="J63" s="15"/>
      <c r="K63" s="15"/>
      <c r="L63" s="15">
        <v>7.5</v>
      </c>
      <c r="M63" s="15"/>
      <c r="N63" s="15"/>
      <c r="O63" s="15"/>
      <c r="P63" s="15"/>
      <c r="Q63" s="15"/>
      <c r="R63" s="15"/>
      <c r="S63" s="15"/>
      <c r="T63" s="15">
        <v>7.5</v>
      </c>
      <c r="U63" s="15"/>
    </row>
    <row r="64" spans="1:21" x14ac:dyDescent="0.3">
      <c r="B64" s="23" t="s">
        <v>188</v>
      </c>
      <c r="C64" s="23"/>
      <c r="D64" s="21"/>
      <c r="E64" s="23"/>
      <c r="F64" s="23"/>
      <c r="G64" s="15">
        <v>7.5</v>
      </c>
      <c r="H64" s="15"/>
      <c r="I64" s="15"/>
      <c r="J64" s="15"/>
      <c r="K64" s="15"/>
      <c r="L64" s="15">
        <v>7.5</v>
      </c>
      <c r="M64" s="15"/>
      <c r="N64" s="15"/>
      <c r="O64" s="15"/>
      <c r="P64" s="15"/>
      <c r="Q64" s="15"/>
      <c r="R64" s="15"/>
      <c r="S64" s="15"/>
      <c r="T64" s="15">
        <v>7.5</v>
      </c>
      <c r="U64" s="15"/>
    </row>
    <row r="65" spans="1:21" x14ac:dyDescent="0.3">
      <c r="A65" s="3"/>
      <c r="B65" s="7" t="s">
        <v>189</v>
      </c>
      <c r="C65" s="75"/>
      <c r="D65" s="75"/>
      <c r="E65" s="75"/>
      <c r="F65" s="75"/>
      <c r="G65" s="75"/>
      <c r="H65" s="75"/>
      <c r="I65" s="75"/>
      <c r="J65" s="75"/>
      <c r="K65" s="75"/>
      <c r="L65" s="75"/>
      <c r="M65" s="75"/>
      <c r="N65" s="75"/>
      <c r="O65" s="75"/>
      <c r="P65" s="75"/>
      <c r="Q65" s="75"/>
      <c r="R65" s="75"/>
      <c r="S65" s="75"/>
      <c r="T65" s="75"/>
      <c r="U65" s="75"/>
    </row>
    <row r="66" spans="1:21" x14ac:dyDescent="0.3">
      <c r="A66" s="28"/>
      <c r="B66" s="23" t="s">
        <v>190</v>
      </c>
      <c r="C66" s="23"/>
      <c r="D66" s="21"/>
      <c r="E66" s="23"/>
      <c r="F66" s="23"/>
      <c r="G66" s="15">
        <v>7.5</v>
      </c>
      <c r="H66" s="15"/>
      <c r="I66" s="15"/>
      <c r="J66" s="15"/>
      <c r="K66" s="15"/>
      <c r="L66" s="15">
        <v>7.5</v>
      </c>
      <c r="M66" s="15"/>
      <c r="N66" s="15"/>
      <c r="O66" s="15"/>
      <c r="P66" s="15"/>
      <c r="Q66" s="15"/>
      <c r="R66" s="15"/>
      <c r="S66" s="15"/>
      <c r="T66" s="15">
        <v>7.5</v>
      </c>
      <c r="U66" s="15"/>
    </row>
    <row r="67" spans="1:21" x14ac:dyDescent="0.3">
      <c r="B67" s="23" t="s">
        <v>191</v>
      </c>
      <c r="C67" s="23"/>
      <c r="D67" s="21"/>
      <c r="E67" s="23"/>
      <c r="F67" s="23"/>
      <c r="G67" s="15">
        <v>7.5</v>
      </c>
      <c r="H67" s="15"/>
      <c r="I67" s="15"/>
      <c r="J67" s="15"/>
      <c r="K67" s="15"/>
      <c r="L67" s="15">
        <v>7.5</v>
      </c>
      <c r="M67" s="15"/>
      <c r="N67" s="15"/>
      <c r="O67" s="15"/>
      <c r="P67" s="15"/>
      <c r="Q67" s="15"/>
      <c r="R67" s="15"/>
      <c r="S67" s="15"/>
      <c r="T67" s="15">
        <v>7.5</v>
      </c>
      <c r="U67" s="15"/>
    </row>
    <row r="68" spans="1:21" x14ac:dyDescent="0.3">
      <c r="A68" s="3"/>
      <c r="B68" s="7" t="s">
        <v>192</v>
      </c>
      <c r="C68" s="75"/>
      <c r="D68" s="75"/>
      <c r="E68" s="75"/>
      <c r="F68" s="75"/>
      <c r="G68" s="75"/>
      <c r="H68" s="75"/>
      <c r="I68" s="75"/>
      <c r="J68" s="75"/>
      <c r="K68" s="75"/>
      <c r="L68" s="75"/>
      <c r="M68" s="75"/>
      <c r="N68" s="75"/>
      <c r="O68" s="75"/>
      <c r="P68" s="75"/>
      <c r="Q68" s="75"/>
      <c r="R68" s="75"/>
      <c r="S68" s="75"/>
      <c r="T68" s="75"/>
      <c r="U68" s="75"/>
    </row>
    <row r="69" spans="1:21" x14ac:dyDescent="0.3">
      <c r="B69" s="23" t="s">
        <v>193</v>
      </c>
      <c r="C69" s="23"/>
      <c r="D69" s="21"/>
      <c r="E69" s="23"/>
      <c r="F69" s="23"/>
      <c r="G69" s="15">
        <v>7.5</v>
      </c>
      <c r="H69" s="15"/>
      <c r="I69" s="15"/>
      <c r="J69" s="15"/>
      <c r="K69" s="15"/>
      <c r="L69" s="15">
        <v>7.5</v>
      </c>
      <c r="M69" s="15"/>
      <c r="N69" s="15"/>
      <c r="O69" s="15"/>
      <c r="P69" s="15"/>
      <c r="Q69" s="15"/>
      <c r="R69" s="15"/>
      <c r="S69" s="15"/>
      <c r="T69" s="15">
        <v>7.5</v>
      </c>
      <c r="U69" s="15"/>
    </row>
    <row r="70" spans="1:21" x14ac:dyDescent="0.3">
      <c r="B70" s="23" t="s">
        <v>194</v>
      </c>
      <c r="C70" s="23"/>
      <c r="D70" s="21"/>
      <c r="E70" s="23"/>
      <c r="F70" s="23"/>
      <c r="G70" s="15">
        <v>7.5</v>
      </c>
      <c r="H70" s="15"/>
      <c r="I70" s="15"/>
      <c r="J70" s="15"/>
      <c r="K70" s="15"/>
      <c r="L70" s="15">
        <v>7.5</v>
      </c>
      <c r="M70" s="15"/>
      <c r="N70" s="15"/>
      <c r="O70" s="15"/>
      <c r="P70" s="15"/>
      <c r="Q70" s="15"/>
      <c r="R70" s="15"/>
      <c r="S70" s="15"/>
      <c r="T70" s="15">
        <v>7.5</v>
      </c>
      <c r="U70" s="15"/>
    </row>
    <row r="71" spans="1:21" x14ac:dyDescent="0.3">
      <c r="A71" s="3"/>
      <c r="B71" s="7" t="s">
        <v>195</v>
      </c>
      <c r="C71" s="75"/>
      <c r="D71" s="75"/>
      <c r="E71" s="75"/>
      <c r="F71" s="75"/>
      <c r="G71" s="75"/>
      <c r="H71" s="75"/>
      <c r="I71" s="75"/>
      <c r="J71" s="75"/>
      <c r="K71" s="75"/>
      <c r="L71" s="75"/>
      <c r="M71" s="75"/>
      <c r="N71" s="75"/>
      <c r="O71" s="75"/>
      <c r="P71" s="75"/>
      <c r="Q71" s="75"/>
      <c r="R71" s="75"/>
      <c r="S71" s="75"/>
      <c r="T71" s="75"/>
      <c r="U71" s="75"/>
    </row>
    <row r="72" spans="1:21" x14ac:dyDescent="0.3">
      <c r="B72" s="23" t="s">
        <v>196</v>
      </c>
      <c r="C72" s="23"/>
      <c r="D72" s="21"/>
      <c r="E72" s="23"/>
      <c r="F72" s="23"/>
      <c r="G72" s="15">
        <v>7.5</v>
      </c>
      <c r="H72" s="15"/>
      <c r="I72" s="15"/>
      <c r="J72" s="15"/>
      <c r="K72" s="15"/>
      <c r="L72" s="15">
        <v>7.5</v>
      </c>
      <c r="M72" s="15"/>
      <c r="N72" s="15"/>
      <c r="O72" s="15"/>
      <c r="P72" s="15"/>
      <c r="Q72" s="15"/>
      <c r="R72" s="15"/>
      <c r="S72" s="15"/>
      <c r="T72" s="15">
        <v>7.5</v>
      </c>
      <c r="U72" s="15"/>
    </row>
    <row r="73" spans="1:21" x14ac:dyDescent="0.3">
      <c r="B73" s="23" t="s">
        <v>197</v>
      </c>
      <c r="C73" s="23"/>
      <c r="D73" s="21"/>
      <c r="E73" s="23"/>
      <c r="F73" s="23"/>
      <c r="G73" s="15">
        <v>7.5</v>
      </c>
      <c r="H73" s="15"/>
      <c r="I73" s="15"/>
      <c r="J73" s="15"/>
      <c r="K73" s="15"/>
      <c r="L73" s="15">
        <v>7.5</v>
      </c>
      <c r="M73" s="15"/>
      <c r="N73" s="15"/>
      <c r="O73" s="15"/>
      <c r="P73" s="15"/>
      <c r="Q73" s="15"/>
      <c r="R73" s="15"/>
      <c r="S73" s="15"/>
      <c r="T73" s="15">
        <v>7.5</v>
      </c>
      <c r="U73" s="15"/>
    </row>
    <row r="74" spans="1:21" x14ac:dyDescent="0.3">
      <c r="A74" s="28"/>
      <c r="B74" s="23" t="s">
        <v>198</v>
      </c>
      <c r="C74" s="23"/>
      <c r="D74" s="21"/>
      <c r="E74" s="23"/>
      <c r="F74" s="23"/>
      <c r="G74" s="15">
        <v>7.5</v>
      </c>
      <c r="H74" s="15"/>
      <c r="I74" s="15"/>
      <c r="J74" s="15"/>
      <c r="K74" s="15"/>
      <c r="L74" s="15">
        <v>7.5</v>
      </c>
      <c r="M74" s="15"/>
      <c r="N74" s="15"/>
      <c r="O74" s="15"/>
      <c r="P74" s="15"/>
      <c r="Q74" s="15"/>
      <c r="R74" s="15"/>
      <c r="S74" s="15"/>
      <c r="T74" s="15">
        <v>7.5</v>
      </c>
      <c r="U74" s="15"/>
    </row>
    <row r="75" spans="1:21" x14ac:dyDescent="0.3">
      <c r="B75" s="23"/>
      <c r="C75" s="23"/>
      <c r="D75" s="23"/>
      <c r="E75" s="23"/>
      <c r="F75" s="23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</row>
    <row r="76" spans="1:21" x14ac:dyDescent="0.3">
      <c r="B76" s="23"/>
      <c r="C76" s="23"/>
      <c r="D76" s="23"/>
      <c r="E76" s="23"/>
      <c r="F76" s="23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</row>
    <row r="77" spans="1:21" x14ac:dyDescent="0.3">
      <c r="B77" s="23"/>
      <c r="C77" s="23"/>
      <c r="D77" s="23"/>
      <c r="E77" s="23"/>
      <c r="F77" s="23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</row>
    <row r="78" spans="1:21" x14ac:dyDescent="0.3">
      <c r="B78" s="23"/>
      <c r="C78" s="23"/>
      <c r="D78" s="23"/>
      <c r="E78" s="23"/>
      <c r="F78" s="23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</row>
    <row r="79" spans="1:21" x14ac:dyDescent="0.3">
      <c r="B79" s="23"/>
      <c r="C79" s="23"/>
      <c r="D79" s="23"/>
      <c r="E79" s="23"/>
      <c r="F79" s="23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</row>
    <row r="80" spans="1:21" x14ac:dyDescent="0.3">
      <c r="B80" s="23"/>
      <c r="C80" s="23"/>
      <c r="D80" s="23"/>
      <c r="E80" s="23"/>
      <c r="F80" s="23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</row>
    <row r="81" spans="2:21" x14ac:dyDescent="0.3">
      <c r="B81" s="23"/>
      <c r="C81" s="23"/>
      <c r="D81" s="23"/>
      <c r="E81" s="23"/>
      <c r="F81" s="23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</row>
    <row r="82" spans="2:21" x14ac:dyDescent="0.3">
      <c r="B82" s="23"/>
      <c r="C82" s="23"/>
      <c r="D82" s="23"/>
      <c r="E82" s="23"/>
      <c r="F82" s="23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</row>
    <row r="83" spans="2:21" x14ac:dyDescent="0.3">
      <c r="B83" s="23"/>
      <c r="C83" s="23"/>
      <c r="D83" s="23"/>
      <c r="E83" s="23"/>
      <c r="F83" s="23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</row>
    <row r="84" spans="2:21" x14ac:dyDescent="0.3">
      <c r="B84" s="23"/>
      <c r="C84" s="23"/>
      <c r="D84" s="23"/>
      <c r="E84" s="23"/>
      <c r="F84" s="23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</row>
    <row r="85" spans="2:21" x14ac:dyDescent="0.3">
      <c r="B85" s="23"/>
      <c r="C85" s="23"/>
      <c r="D85" s="23"/>
      <c r="E85" s="23"/>
      <c r="F85" s="23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</row>
    <row r="86" spans="2:21" x14ac:dyDescent="0.3"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</row>
    <row r="87" spans="2:21" x14ac:dyDescent="0.3"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</row>
    <row r="88" spans="2:21" x14ac:dyDescent="0.3"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</row>
    <row r="89" spans="2:21" x14ac:dyDescent="0.3"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</row>
    <row r="90" spans="2:21" x14ac:dyDescent="0.3"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</row>
    <row r="91" spans="2:21" x14ac:dyDescent="0.3"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</row>
    <row r="92" spans="2:21" x14ac:dyDescent="0.3"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</row>
    <row r="93" spans="2:21" x14ac:dyDescent="0.3"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</row>
    <row r="94" spans="2:21" x14ac:dyDescent="0.3"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</row>
    <row r="95" spans="2:21" x14ac:dyDescent="0.3"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</row>
    <row r="96" spans="2:21" x14ac:dyDescent="0.3"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</row>
    <row r="97" spans="7:21" x14ac:dyDescent="0.3"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</row>
    <row r="98" spans="7:21" x14ac:dyDescent="0.3"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</row>
    <row r="99" spans="7:21" x14ac:dyDescent="0.3"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</row>
    <row r="100" spans="7:21" x14ac:dyDescent="0.3"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</row>
    <row r="101" spans="7:21" x14ac:dyDescent="0.3"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</row>
    <row r="102" spans="7:21" x14ac:dyDescent="0.3"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</row>
    <row r="103" spans="7:21" x14ac:dyDescent="0.3"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</row>
    <row r="104" spans="7:21" x14ac:dyDescent="0.3"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</row>
    <row r="105" spans="7:21" x14ac:dyDescent="0.3"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</row>
    <row r="106" spans="7:21" x14ac:dyDescent="0.3"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</row>
    <row r="107" spans="7:21" x14ac:dyDescent="0.3"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</row>
    <row r="108" spans="7:21" x14ac:dyDescent="0.3"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</row>
    <row r="109" spans="7:21" x14ac:dyDescent="0.3"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</row>
    <row r="110" spans="7:21" x14ac:dyDescent="0.3"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</row>
    <row r="111" spans="7:21" x14ac:dyDescent="0.3"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</row>
    <row r="112" spans="7:21" x14ac:dyDescent="0.3"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</row>
    <row r="113" spans="7:21" x14ac:dyDescent="0.3"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</row>
    <row r="114" spans="7:21" x14ac:dyDescent="0.3"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</row>
    <row r="115" spans="7:21" x14ac:dyDescent="0.3"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</row>
    <row r="116" spans="7:21" x14ac:dyDescent="0.3"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</row>
    <row r="117" spans="7:21" x14ac:dyDescent="0.3"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</row>
    <row r="118" spans="7:21" x14ac:dyDescent="0.3"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</row>
    <row r="119" spans="7:21" x14ac:dyDescent="0.3"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</row>
    <row r="120" spans="7:21" x14ac:dyDescent="0.3"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</row>
    <row r="121" spans="7:21" x14ac:dyDescent="0.3"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</row>
    <row r="122" spans="7:21" x14ac:dyDescent="0.3"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</row>
    <row r="123" spans="7:21" x14ac:dyDescent="0.3"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</row>
    <row r="124" spans="7:21" x14ac:dyDescent="0.3"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</row>
    <row r="125" spans="7:21" x14ac:dyDescent="0.3"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</row>
    <row r="126" spans="7:21" x14ac:dyDescent="0.3"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</row>
    <row r="127" spans="7:21" x14ac:dyDescent="0.3"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</row>
    <row r="128" spans="7:21" x14ac:dyDescent="0.3"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</row>
    <row r="129" spans="7:21" x14ac:dyDescent="0.3"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</row>
    <row r="130" spans="7:21" x14ac:dyDescent="0.3"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</row>
    <row r="131" spans="7:21" x14ac:dyDescent="0.3"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</row>
    <row r="132" spans="7:21" x14ac:dyDescent="0.3"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</row>
    <row r="133" spans="7:21" x14ac:dyDescent="0.3"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</row>
    <row r="134" spans="7:21" x14ac:dyDescent="0.3"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</row>
    <row r="135" spans="7:21" x14ac:dyDescent="0.3"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</row>
    <row r="136" spans="7:21" x14ac:dyDescent="0.3"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</row>
    <row r="137" spans="7:21" x14ac:dyDescent="0.3"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</row>
    <row r="138" spans="7:21" x14ac:dyDescent="0.3"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</row>
    <row r="139" spans="7:21" x14ac:dyDescent="0.3"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</row>
    <row r="140" spans="7:21" x14ac:dyDescent="0.3"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</row>
    <row r="141" spans="7:21" x14ac:dyDescent="0.3"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</row>
    <row r="142" spans="7:21" x14ac:dyDescent="0.3"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</row>
    <row r="143" spans="7:21" x14ac:dyDescent="0.3"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</row>
    <row r="144" spans="7:21" x14ac:dyDescent="0.3"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</row>
    <row r="145" spans="7:21" x14ac:dyDescent="0.3"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</row>
    <row r="146" spans="7:21" x14ac:dyDescent="0.3"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</row>
    <row r="147" spans="7:21" x14ac:dyDescent="0.3"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</row>
    <row r="148" spans="7:21" x14ac:dyDescent="0.3"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</row>
    <row r="149" spans="7:21" x14ac:dyDescent="0.3"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</row>
    <row r="150" spans="7:21" x14ac:dyDescent="0.3"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</row>
    <row r="151" spans="7:21" x14ac:dyDescent="0.3"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</row>
    <row r="152" spans="7:21" x14ac:dyDescent="0.3"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</row>
    <row r="153" spans="7:21" x14ac:dyDescent="0.3"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</row>
    <row r="154" spans="7:21" x14ac:dyDescent="0.3"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</row>
    <row r="155" spans="7:21" x14ac:dyDescent="0.3"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</row>
    <row r="156" spans="7:21" x14ac:dyDescent="0.3"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</row>
    <row r="157" spans="7:21" x14ac:dyDescent="0.3"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</row>
    <row r="158" spans="7:21" x14ac:dyDescent="0.3"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</row>
    <row r="159" spans="7:21" x14ac:dyDescent="0.3"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</row>
    <row r="160" spans="7:21" x14ac:dyDescent="0.3"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</row>
    <row r="161" spans="7:21" x14ac:dyDescent="0.3"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</row>
    <row r="162" spans="7:21" x14ac:dyDescent="0.3"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</row>
    <row r="163" spans="7:21" x14ac:dyDescent="0.3"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</row>
    <row r="164" spans="7:21" x14ac:dyDescent="0.3"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</row>
    <row r="165" spans="7:21" x14ac:dyDescent="0.3"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</row>
    <row r="166" spans="7:21" x14ac:dyDescent="0.3"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</row>
    <row r="167" spans="7:21" x14ac:dyDescent="0.3"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</row>
    <row r="168" spans="7:21" x14ac:dyDescent="0.3"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</row>
    <row r="169" spans="7:21" x14ac:dyDescent="0.3"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</row>
    <row r="170" spans="7:21" x14ac:dyDescent="0.3"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</row>
    <row r="171" spans="7:21" x14ac:dyDescent="0.3"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</row>
    <row r="172" spans="7:21" x14ac:dyDescent="0.3"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</row>
    <row r="173" spans="7:21" x14ac:dyDescent="0.3"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</row>
    <row r="174" spans="7:21" x14ac:dyDescent="0.3"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</row>
    <row r="175" spans="7:21" x14ac:dyDescent="0.3"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</row>
    <row r="176" spans="7:21" x14ac:dyDescent="0.3"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</row>
    <row r="177" spans="7:21" x14ac:dyDescent="0.3"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</row>
    <row r="178" spans="7:21" x14ac:dyDescent="0.3"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</row>
    <row r="179" spans="7:21" x14ac:dyDescent="0.3"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</row>
    <row r="180" spans="7:21" x14ac:dyDescent="0.3"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</row>
    <row r="181" spans="7:21" x14ac:dyDescent="0.3"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</row>
    <row r="182" spans="7:21" x14ac:dyDescent="0.3"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</row>
    <row r="183" spans="7:21" x14ac:dyDescent="0.3"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</row>
    <row r="184" spans="7:21" x14ac:dyDescent="0.3"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</row>
    <row r="185" spans="7:21" x14ac:dyDescent="0.3"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</row>
    <row r="186" spans="7:21" x14ac:dyDescent="0.3"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</row>
    <row r="187" spans="7:21" x14ac:dyDescent="0.3"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</row>
    <row r="188" spans="7:21" x14ac:dyDescent="0.3"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</row>
    <row r="189" spans="7:21" x14ac:dyDescent="0.3"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</row>
    <row r="190" spans="7:21" x14ac:dyDescent="0.3"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</row>
    <row r="191" spans="7:21" x14ac:dyDescent="0.3"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</row>
    <row r="192" spans="7:21" x14ac:dyDescent="0.3"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</row>
    <row r="193" spans="7:21" x14ac:dyDescent="0.3"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</row>
    <row r="194" spans="7:21" x14ac:dyDescent="0.3"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</row>
    <row r="195" spans="7:21" x14ac:dyDescent="0.3"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</row>
    <row r="196" spans="7:21" x14ac:dyDescent="0.3"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</row>
    <row r="197" spans="7:21" x14ac:dyDescent="0.3"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</row>
    <row r="198" spans="7:21" x14ac:dyDescent="0.3"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</row>
    <row r="199" spans="7:21" x14ac:dyDescent="0.3"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</row>
    <row r="200" spans="7:21" x14ac:dyDescent="0.3"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</row>
    <row r="201" spans="7:21" x14ac:dyDescent="0.3"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</row>
    <row r="202" spans="7:21" x14ac:dyDescent="0.3"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</row>
  </sheetData>
  <mergeCells count="5">
    <mergeCell ref="H4:J4"/>
    <mergeCell ref="K4:L4"/>
    <mergeCell ref="M4:U4"/>
    <mergeCell ref="H3:U3"/>
    <mergeCell ref="G2:U2"/>
  </mergeCells>
  <pageMargins left="0.7" right="0.7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3"/>
  <dimension ref="A2:U30"/>
  <sheetViews>
    <sheetView zoomScaleNormal="100" workbookViewId="0">
      <pane ySplit="6" topLeftCell="A7" activePane="bottomLeft" state="frozen"/>
      <selection pane="bottomLeft"/>
    </sheetView>
  </sheetViews>
  <sheetFormatPr defaultColWidth="8.88671875" defaultRowHeight="14.4" x14ac:dyDescent="0.3"/>
  <cols>
    <col min="1" max="1" width="9.33203125" style="17" bestFit="1" customWidth="1"/>
    <col min="2" max="2" width="81.109375" style="24" customWidth="1"/>
    <col min="3" max="3" width="8.109375" style="17" bestFit="1" customWidth="1"/>
    <col min="4" max="4" width="18" style="17" customWidth="1"/>
    <col min="5" max="5" width="20.44140625" style="24" customWidth="1"/>
    <col min="6" max="6" width="29.6640625" style="24" bestFit="1" customWidth="1"/>
    <col min="7" max="7" width="5" style="24" bestFit="1" customWidth="1"/>
    <col min="8" max="8" width="6.88671875" style="24" bestFit="1" customWidth="1"/>
    <col min="9" max="9" width="8.109375" style="24" customWidth="1"/>
    <col min="10" max="10" width="4" style="24" bestFit="1" customWidth="1"/>
    <col min="11" max="11" width="5.88671875" style="24" customWidth="1"/>
    <col min="12" max="12" width="5" style="24" customWidth="1"/>
    <col min="13" max="13" width="4.33203125" style="24" customWidth="1"/>
    <col min="14" max="14" width="4.44140625" style="24" bestFit="1" customWidth="1"/>
    <col min="15" max="16" width="6.88671875" style="24" bestFit="1" customWidth="1"/>
    <col min="17" max="17" width="6.109375" style="24" bestFit="1" customWidth="1"/>
    <col min="18" max="18" width="4.44140625" style="24" bestFit="1" customWidth="1"/>
    <col min="19" max="19" width="5.109375" style="24" bestFit="1" customWidth="1"/>
    <col min="20" max="20" width="5" style="24" customWidth="1"/>
    <col min="21" max="21" width="5.6640625" style="24" customWidth="1"/>
    <col min="22" max="22" width="8.88671875" style="24" customWidth="1"/>
    <col min="23" max="16384" width="8.88671875" style="24"/>
  </cols>
  <sheetData>
    <row r="2" spans="1:21" x14ac:dyDescent="0.3">
      <c r="G2" s="122" t="str">
        <f>Sammanfattning!G20</f>
        <v>Högskolepoäng (hp)</v>
      </c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4"/>
    </row>
    <row r="3" spans="1:21" x14ac:dyDescent="0.3">
      <c r="G3" s="19"/>
      <c r="H3" s="125" t="str">
        <f>Sammanfattning!H21</f>
        <v>Varav (hp)…</v>
      </c>
      <c r="I3" s="126"/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6"/>
      <c r="U3" s="127"/>
    </row>
    <row r="4" spans="1:21" x14ac:dyDescent="0.3">
      <c r="H4" s="97" t="str">
        <f>Sammanfattning!H22</f>
        <v>Baskurser (hp)</v>
      </c>
      <c r="I4" s="81"/>
      <c r="J4" s="98"/>
      <c r="K4" s="97" t="str">
        <f>Sammanfattning!K22</f>
        <v>Övriga kurser</v>
      </c>
      <c r="L4" s="98"/>
      <c r="M4" s="122" t="str">
        <f>Sammanfattning!M22</f>
        <v>Övriga krav</v>
      </c>
      <c r="N4" s="123"/>
      <c r="O4" s="123"/>
      <c r="P4" s="123"/>
      <c r="Q4" s="123"/>
      <c r="R4" s="123"/>
      <c r="S4" s="123"/>
      <c r="T4" s="123"/>
      <c r="U4" s="124"/>
    </row>
    <row r="5" spans="1:21" x14ac:dyDescent="0.3">
      <c r="A5" s="60" t="str">
        <f>Sammanfattning!A23</f>
        <v>1.</v>
      </c>
      <c r="B5" s="60" t="str">
        <f>Sammanfattning!B23</f>
        <v>2.</v>
      </c>
      <c r="C5" s="60" t="str">
        <f>Sammanfattning!C23</f>
        <v>3.</v>
      </c>
      <c r="D5" s="60" t="str">
        <f>Sammanfattning!D23</f>
        <v>4.</v>
      </c>
      <c r="E5" s="60" t="str">
        <f>Sammanfattning!E23</f>
        <v>5.</v>
      </c>
      <c r="F5" s="60" t="str">
        <f>Sammanfattning!F23</f>
        <v>6.</v>
      </c>
      <c r="G5" s="1" t="str">
        <f>Sammanfattning!G23</f>
        <v>7.</v>
      </c>
      <c r="H5" s="1" t="str">
        <f>Sammanfattning!H23</f>
        <v>8.</v>
      </c>
      <c r="I5" s="1" t="str">
        <f>Sammanfattning!I23</f>
        <v>9.</v>
      </c>
      <c r="J5" s="1" t="str">
        <f>Sammanfattning!J23</f>
        <v>10.</v>
      </c>
      <c r="K5" s="1" t="str">
        <f>Sammanfattning!K23</f>
        <v>11.</v>
      </c>
      <c r="L5" s="1" t="str">
        <f>Sammanfattning!L23</f>
        <v>12.</v>
      </c>
      <c r="M5" s="10" t="str">
        <f>Sammanfattning!M23</f>
        <v>13.</v>
      </c>
      <c r="N5" s="10" t="str">
        <f>Sammanfattning!N23</f>
        <v>13.1</v>
      </c>
      <c r="O5" s="10" t="str">
        <f>Sammanfattning!O23</f>
        <v>13.2</v>
      </c>
      <c r="P5" s="10" t="str">
        <f>Sammanfattning!P23</f>
        <v>13.3</v>
      </c>
      <c r="Q5" s="10" t="str">
        <f>Sammanfattning!Q23</f>
        <v>13.4</v>
      </c>
      <c r="R5" s="10" t="str">
        <f>Sammanfattning!R23</f>
        <v>14.</v>
      </c>
      <c r="S5" s="10" t="str">
        <f>Sammanfattning!S23</f>
        <v>15.</v>
      </c>
      <c r="T5" s="10" t="str">
        <f>Sammanfattning!T23</f>
        <v>16.</v>
      </c>
      <c r="U5" s="11" t="str">
        <f>Sammanfattning!U23</f>
        <v>17.</v>
      </c>
    </row>
    <row r="6" spans="1:21" x14ac:dyDescent="0.3">
      <c r="A6" s="13" t="str">
        <f>Sammanfattning!A24</f>
        <v>Checkbox</v>
      </c>
      <c r="B6" s="13" t="str">
        <f>Sammanfattning!B24</f>
        <v>Kursnamn</v>
      </c>
      <c r="C6" s="13" t="str">
        <f>Sammanfattning!C24</f>
        <v>Kurskod</v>
      </c>
      <c r="D6" s="13" t="str">
        <f>Sammanfattning!D24</f>
        <v>Datum (ååååmmdd)</v>
      </c>
      <c r="E6" s="13" t="str">
        <f>Sammanfattning!E24</f>
        <v>Studentens kommentar</v>
      </c>
      <c r="F6" s="13" t="str">
        <f>Sammanfattning!F24</f>
        <v>Programledningens kommentar</v>
      </c>
      <c r="G6" s="13" t="str">
        <f>Sammanfattning!G24</f>
        <v>Hp</v>
      </c>
      <c r="H6" s="13" t="str">
        <f>Sammanfattning!H24</f>
        <v>MaBer</v>
      </c>
      <c r="I6" s="13" t="str">
        <f>Sammanfattning!I24</f>
        <v>StatMät</v>
      </c>
      <c r="J6" s="13" t="str">
        <f>Sammanfattning!J24</f>
        <v>FyT</v>
      </c>
      <c r="K6" s="13" t="str">
        <f>Sammanfattning!K24</f>
        <v>Aing</v>
      </c>
      <c r="L6" s="13" t="str">
        <f>Sammanfattning!L24</f>
        <v>Prof</v>
      </c>
      <c r="M6" s="13" t="str">
        <f>Sammanfattning!M24</f>
        <v>PL</v>
      </c>
      <c r="N6" s="13" t="str">
        <f>Sammanfattning!N24</f>
        <v>PaN</v>
      </c>
      <c r="O6" s="13" t="str">
        <f>Sammanfattning!O24</f>
        <v>PaSam</v>
      </c>
      <c r="P6" s="13" t="str">
        <f>Sammanfattning!P24</f>
        <v>PaStor</v>
      </c>
      <c r="Q6" s="13" t="str">
        <f>Sammanfattning!Q24</f>
        <v>PaTot</v>
      </c>
      <c r="R6" s="13" t="str">
        <f>Sammanfattning!R24</f>
        <v>Hut</v>
      </c>
      <c r="S6" s="13" t="str">
        <f>Sammanfattning!S24</f>
        <v>Data</v>
      </c>
      <c r="T6" s="13" t="str">
        <f>Sammanfattning!T24</f>
        <v>Avn</v>
      </c>
      <c r="U6" s="14" t="str">
        <f>Sammanfattning!U24</f>
        <v>Fria</v>
      </c>
    </row>
    <row r="7" spans="1:21" x14ac:dyDescent="0.3">
      <c r="A7" s="3"/>
      <c r="B7" s="7" t="s">
        <v>199</v>
      </c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</row>
    <row r="8" spans="1:21" x14ac:dyDescent="0.3">
      <c r="D8" s="22"/>
    </row>
    <row r="9" spans="1:21" x14ac:dyDescent="0.3">
      <c r="D9" s="22"/>
    </row>
    <row r="10" spans="1:21" x14ac:dyDescent="0.3">
      <c r="D10" s="22"/>
    </row>
    <row r="11" spans="1:21" x14ac:dyDescent="0.3">
      <c r="D11" s="22"/>
    </row>
    <row r="12" spans="1:21" x14ac:dyDescent="0.3">
      <c r="D12" s="22"/>
    </row>
    <row r="13" spans="1:21" x14ac:dyDescent="0.3">
      <c r="D13" s="22"/>
    </row>
    <row r="14" spans="1:21" x14ac:dyDescent="0.3">
      <c r="D14" s="22"/>
    </row>
    <row r="15" spans="1:21" x14ac:dyDescent="0.3">
      <c r="D15" s="22"/>
    </row>
    <row r="16" spans="1:21" x14ac:dyDescent="0.3">
      <c r="D16" s="22"/>
    </row>
    <row r="17" spans="4:4" x14ac:dyDescent="0.3">
      <c r="D17" s="22"/>
    </row>
    <row r="18" spans="4:4" x14ac:dyDescent="0.3">
      <c r="D18" s="22"/>
    </row>
    <row r="19" spans="4:4" x14ac:dyDescent="0.3">
      <c r="D19" s="22"/>
    </row>
    <row r="20" spans="4:4" x14ac:dyDescent="0.3">
      <c r="D20" s="22"/>
    </row>
    <row r="21" spans="4:4" x14ac:dyDescent="0.3">
      <c r="D21" s="22"/>
    </row>
    <row r="22" spans="4:4" x14ac:dyDescent="0.3">
      <c r="D22" s="22"/>
    </row>
    <row r="23" spans="4:4" x14ac:dyDescent="0.3">
      <c r="D23" s="22"/>
    </row>
    <row r="24" spans="4:4" x14ac:dyDescent="0.3">
      <c r="D24" s="22"/>
    </row>
    <row r="25" spans="4:4" x14ac:dyDescent="0.3">
      <c r="D25" s="22"/>
    </row>
    <row r="26" spans="4:4" x14ac:dyDescent="0.3">
      <c r="D26" s="22"/>
    </row>
    <row r="27" spans="4:4" x14ac:dyDescent="0.3">
      <c r="D27" s="22"/>
    </row>
    <row r="28" spans="4:4" x14ac:dyDescent="0.3">
      <c r="D28" s="22"/>
    </row>
    <row r="29" spans="4:4" x14ac:dyDescent="0.3">
      <c r="D29" s="22"/>
    </row>
    <row r="30" spans="4:4" x14ac:dyDescent="0.3">
      <c r="D30" s="22"/>
    </row>
  </sheetData>
  <mergeCells count="5">
    <mergeCell ref="H4:J4"/>
    <mergeCell ref="K4:L4"/>
    <mergeCell ref="M4:U4"/>
    <mergeCell ref="H3:U3"/>
    <mergeCell ref="G2:U2"/>
  </mergeCell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I23"/>
  <sheetViews>
    <sheetView zoomScaleNormal="100" workbookViewId="0">
      <selection activeCell="D1" sqref="D1"/>
    </sheetView>
  </sheetViews>
  <sheetFormatPr defaultColWidth="11.44140625" defaultRowHeight="14.4" x14ac:dyDescent="0.3"/>
  <cols>
    <col min="1" max="1" width="11.44140625" style="9" customWidth="1"/>
    <col min="2" max="2" width="110.109375" style="25" customWidth="1"/>
    <col min="3" max="3" width="51.6640625" style="24" customWidth="1"/>
    <col min="4" max="16384" width="11.44140625" style="24"/>
  </cols>
  <sheetData>
    <row r="1" spans="1:9" s="33" customFormat="1" ht="25.8" x14ac:dyDescent="0.3">
      <c r="A1" s="128" t="s">
        <v>6</v>
      </c>
      <c r="B1" s="129"/>
      <c r="C1" s="129"/>
    </row>
    <row r="2" spans="1:9" ht="15.6" x14ac:dyDescent="0.3">
      <c r="A2" s="137" t="s">
        <v>240</v>
      </c>
      <c r="B2" s="137"/>
      <c r="C2" s="137"/>
    </row>
    <row r="3" spans="1:9" s="34" customFormat="1" x14ac:dyDescent="0.3">
      <c r="A3" s="9"/>
    </row>
    <row r="4" spans="1:9" s="29" customFormat="1" ht="15" customHeight="1" x14ac:dyDescent="0.3">
      <c r="A4" s="62" t="s">
        <v>233</v>
      </c>
      <c r="B4" s="63" t="s">
        <v>234</v>
      </c>
      <c r="C4" s="62" t="s">
        <v>235</v>
      </c>
      <c r="D4" s="40"/>
    </row>
    <row r="5" spans="1:9" s="33" customFormat="1" ht="15" customHeight="1" x14ac:dyDescent="0.3">
      <c r="A5" s="58" t="s">
        <v>220</v>
      </c>
      <c r="B5" s="138" t="s">
        <v>265</v>
      </c>
      <c r="C5" s="66" t="s">
        <v>254</v>
      </c>
    </row>
    <row r="6" spans="1:9" s="33" customFormat="1" ht="15" customHeight="1" x14ac:dyDescent="0.3">
      <c r="A6" s="61"/>
      <c r="B6" s="139"/>
      <c r="C6" s="51"/>
    </row>
    <row r="7" spans="1:9" s="29" customFormat="1" x14ac:dyDescent="0.3">
      <c r="A7" s="50"/>
      <c r="B7" s="139"/>
      <c r="C7" s="51"/>
    </row>
    <row r="8" spans="1:9" x14ac:dyDescent="0.3">
      <c r="A8" s="50"/>
      <c r="B8" s="139"/>
      <c r="C8" s="51"/>
    </row>
    <row r="9" spans="1:9" x14ac:dyDescent="0.3">
      <c r="A9" s="50"/>
      <c r="B9" s="139"/>
      <c r="C9" s="51"/>
      <c r="D9" s="5"/>
      <c r="E9" s="5"/>
      <c r="F9" s="5"/>
      <c r="G9" s="5"/>
      <c r="H9" s="5"/>
      <c r="I9" s="5"/>
    </row>
    <row r="10" spans="1:9" x14ac:dyDescent="0.3">
      <c r="A10" s="50"/>
      <c r="B10" s="139"/>
      <c r="C10" s="51"/>
      <c r="D10" s="5"/>
      <c r="E10" s="5"/>
      <c r="F10" s="5"/>
      <c r="G10" s="5"/>
      <c r="H10" s="5"/>
      <c r="I10" s="5"/>
    </row>
    <row r="11" spans="1:9" x14ac:dyDescent="0.3">
      <c r="A11" s="50"/>
      <c r="B11" s="139"/>
      <c r="C11" s="51"/>
      <c r="D11" s="5"/>
      <c r="E11" s="5"/>
      <c r="F11" s="5"/>
      <c r="G11" s="5"/>
      <c r="H11" s="5"/>
      <c r="I11" s="5"/>
    </row>
    <row r="12" spans="1:9" x14ac:dyDescent="0.3">
      <c r="A12" s="50"/>
      <c r="B12" s="140"/>
      <c r="C12" s="65"/>
    </row>
    <row r="13" spans="1:9" s="34" customFormat="1" x14ac:dyDescent="0.3">
      <c r="A13" s="64"/>
      <c r="B13" s="141"/>
      <c r="C13" s="51"/>
    </row>
    <row r="14" spans="1:9" s="53" customFormat="1" x14ac:dyDescent="0.3">
      <c r="A14" s="64"/>
      <c r="B14" s="141"/>
      <c r="C14" s="51"/>
    </row>
    <row r="15" spans="1:9" s="74" customFormat="1" x14ac:dyDescent="0.3">
      <c r="A15" s="64"/>
      <c r="B15" s="141"/>
      <c r="C15" s="51"/>
    </row>
    <row r="16" spans="1:9" s="53" customFormat="1" x14ac:dyDescent="0.3">
      <c r="A16" s="64"/>
      <c r="B16" s="141"/>
      <c r="C16" s="51"/>
    </row>
    <row r="17" spans="1:7" s="34" customFormat="1" x14ac:dyDescent="0.3">
      <c r="A17" s="50"/>
      <c r="B17" s="142"/>
      <c r="C17" s="51"/>
    </row>
    <row r="18" spans="1:7" x14ac:dyDescent="0.3">
      <c r="A18" s="58" t="s">
        <v>206</v>
      </c>
      <c r="B18" s="134" t="s">
        <v>232</v>
      </c>
      <c r="C18" s="130" t="s">
        <v>212</v>
      </c>
    </row>
    <row r="19" spans="1:7" x14ac:dyDescent="0.3">
      <c r="A19" s="51"/>
      <c r="B19" s="135"/>
      <c r="C19" s="131"/>
    </row>
    <row r="20" spans="1:7" x14ac:dyDescent="0.3">
      <c r="A20" s="50"/>
      <c r="B20" s="135"/>
      <c r="C20" s="132"/>
    </row>
    <row r="21" spans="1:7" s="33" customFormat="1" x14ac:dyDescent="0.3">
      <c r="A21" s="52"/>
      <c r="B21" s="136"/>
      <c r="C21" s="133"/>
    </row>
    <row r="22" spans="1:7" x14ac:dyDescent="0.3">
      <c r="B22" s="24"/>
    </row>
    <row r="23" spans="1:7" x14ac:dyDescent="0.3">
      <c r="B23" s="24"/>
      <c r="D23" s="49"/>
      <c r="E23" s="49"/>
      <c r="F23" s="49"/>
      <c r="G23" s="49"/>
    </row>
  </sheetData>
  <mergeCells count="5">
    <mergeCell ref="A1:C1"/>
    <mergeCell ref="C18:C21"/>
    <mergeCell ref="B18:B21"/>
    <mergeCell ref="A2:C2"/>
    <mergeCell ref="B5:B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5"/>
  <dimension ref="A1:F17"/>
  <sheetViews>
    <sheetView zoomScaleNormal="100" workbookViewId="0">
      <selection activeCell="A3" sqref="A3"/>
    </sheetView>
  </sheetViews>
  <sheetFormatPr defaultColWidth="8.88671875" defaultRowHeight="14.4" x14ac:dyDescent="0.3"/>
  <cols>
    <col min="1" max="1" width="49.6640625" style="24" customWidth="1"/>
    <col min="6" max="6" width="55" style="24" customWidth="1"/>
  </cols>
  <sheetData>
    <row r="1" spans="1:6" x14ac:dyDescent="0.3">
      <c r="A1" s="73" t="s">
        <v>200</v>
      </c>
      <c r="F1" s="23" t="s">
        <v>76</v>
      </c>
    </row>
    <row r="2" spans="1:6" x14ac:dyDescent="0.3">
      <c r="A2" s="6" t="s">
        <v>201</v>
      </c>
      <c r="F2" t="s">
        <v>85</v>
      </c>
    </row>
    <row r="3" spans="1:6" x14ac:dyDescent="0.3">
      <c r="A3" s="6" t="s">
        <v>202</v>
      </c>
      <c r="F3" t="s">
        <v>89</v>
      </c>
    </row>
    <row r="4" spans="1:6" x14ac:dyDescent="0.3">
      <c r="A4" s="6" t="s">
        <v>203</v>
      </c>
      <c r="F4" t="s">
        <v>72</v>
      </c>
    </row>
    <row r="5" spans="1:6" x14ac:dyDescent="0.3">
      <c r="A5" s="6" t="s">
        <v>204</v>
      </c>
      <c r="F5" s="23" t="s">
        <v>132</v>
      </c>
    </row>
    <row r="6" spans="1:6" x14ac:dyDescent="0.3">
      <c r="A6" s="6" t="s">
        <v>205</v>
      </c>
      <c r="F6" t="s">
        <v>147</v>
      </c>
    </row>
    <row r="7" spans="1:6" x14ac:dyDescent="0.3">
      <c r="F7" t="s">
        <v>153</v>
      </c>
    </row>
    <row r="8" spans="1:6" x14ac:dyDescent="0.3">
      <c r="F8" t="s">
        <v>160</v>
      </c>
    </row>
    <row r="9" spans="1:6" x14ac:dyDescent="0.3">
      <c r="F9" t="s">
        <v>165</v>
      </c>
    </row>
    <row r="10" spans="1:6" x14ac:dyDescent="0.3">
      <c r="F10" t="s">
        <v>119</v>
      </c>
    </row>
    <row r="11" spans="1:6" x14ac:dyDescent="0.3">
      <c r="F11" t="s">
        <v>176</v>
      </c>
    </row>
    <row r="12" spans="1:6" x14ac:dyDescent="0.3">
      <c r="F12" t="s">
        <v>180</v>
      </c>
    </row>
    <row r="13" spans="1:6" x14ac:dyDescent="0.3">
      <c r="F13" t="s">
        <v>189</v>
      </c>
    </row>
    <row r="14" spans="1:6" x14ac:dyDescent="0.3">
      <c r="F14" t="s">
        <v>192</v>
      </c>
    </row>
    <row r="15" spans="1:6" x14ac:dyDescent="0.3">
      <c r="F15" t="s">
        <v>195</v>
      </c>
    </row>
    <row r="16" spans="1:6" x14ac:dyDescent="0.3">
      <c r="F16" t="s">
        <v>199</v>
      </c>
    </row>
    <row r="17" spans="6:6" x14ac:dyDescent="0.3">
      <c r="F17" s="23" t="s">
        <v>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77DF8B229149043AC056CBFE8B11EF9" ma:contentTypeVersion="13" ma:contentTypeDescription="Create a new document." ma:contentTypeScope="" ma:versionID="6aba3b5c64b83b23a96082b3cf6f037b">
  <xsd:schema xmlns:xsd="http://www.w3.org/2001/XMLSchema" xmlns:xs="http://www.w3.org/2001/XMLSchema" xmlns:p="http://schemas.microsoft.com/office/2006/metadata/properties" xmlns:ns3="9c314a0d-fc0e-415c-9aed-f7cf8316431a" xmlns:ns4="a389610a-632f-450a-96e1-8e2237e52dab" targetNamespace="http://schemas.microsoft.com/office/2006/metadata/properties" ma:root="true" ma:fieldsID="dfd385e0943d63d9f5e383f6c03ffb66" ns3:_="" ns4:_="">
    <xsd:import namespace="9c314a0d-fc0e-415c-9aed-f7cf8316431a"/>
    <xsd:import namespace="a389610a-632f-450a-96e1-8e2237e52da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314a0d-fc0e-415c-9aed-f7cf8316431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89610a-632f-450a-96e1-8e2237e52d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5" nillable="true" ma:displayName="MediaServiceLocation" ma:internalName="MediaServiceLocation" ma:readOnly="true">
      <xsd:simpleType>
        <xsd:restriction base="dms:Text"/>
      </xsd:simpleType>
    </xsd:element>
    <xsd:element name="MediaServiceOCR" ma:index="16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169C0F65-AEAB-4EEE-AB66-04176D9DFFF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176B9E-945B-461D-8621-1D24F02AB4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314a0d-fc0e-415c-9aed-f7cf8316431a"/>
    <ds:schemaRef ds:uri="a389610a-632f-450a-96e1-8e2237e52da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DB0411D-CE3C-47B8-92EC-2D3EDA6B9AE8}">
  <ds:schemaRefs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  <ds:schemaRef ds:uri="http://schemas.microsoft.com/office/2006/metadata/properties"/>
    <ds:schemaRef ds:uri="http://schemas.microsoft.com/office/2006/documentManagement/types"/>
    <ds:schemaRef ds:uri="a389610a-632f-450a-96e1-8e2237e52dab"/>
    <ds:schemaRef ds:uri="9c314a0d-fc0e-415c-9aed-f7cf8316431a"/>
    <ds:schemaRef ds:uri="http://purl.org/dc/dcmitype/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232BD4E5-CA73-4E59-A0D1-C17BB86692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8</vt:i4>
      </vt:variant>
    </vt:vector>
  </HeadingPairs>
  <TitlesOfParts>
    <vt:vector size="8" baseType="lpstr">
      <vt:lpstr>Instruktioner</vt:lpstr>
      <vt:lpstr>Sammanfattning</vt:lpstr>
      <vt:lpstr>Basterminer</vt:lpstr>
      <vt:lpstr>Allmänna ingenjörskurser</vt:lpstr>
      <vt:lpstr>Profilkurser</vt:lpstr>
      <vt:lpstr>Övriga kurser</vt:lpstr>
      <vt:lpstr>Patch notes</vt:lpstr>
      <vt:lpstr>Random code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Individuell studieplan</dc:title>
  <dc:creator/>
  <cp:keywords>exam, teknisk fysik</cp:keywords>
  <cp:lastModifiedBy>Malin</cp:lastModifiedBy>
  <dcterms:created xsi:type="dcterms:W3CDTF">2020-01-29T00:01:20Z</dcterms:created>
  <dcterms:modified xsi:type="dcterms:W3CDTF">2020-09-03T09:15:16Z</dcterms:modified>
  <cp:category>examensbilaga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0x010100877DF8B229149043AC056CBFE8B11EF9</vt:lpwstr>
  </property>
</Properties>
</file>